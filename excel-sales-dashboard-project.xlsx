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w24065767_northumbria_ac_uk/Documents/"/>
    </mc:Choice>
  </mc:AlternateContent>
  <xr:revisionPtr revIDLastSave="0" documentId="8_{574589B4-C982-48B7-9082-13142851BA86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ayment Method Analysis (Pivot " sheetId="7" r:id="rId1"/>
    <sheet name="Salesperson Performance" sheetId="6" r:id="rId2"/>
    <sheet name="sales by month " sheetId="5" r:id="rId3"/>
    <sheet name="Profit by Product" sheetId="4" r:id="rId4"/>
    <sheet name="Dashboard" sheetId="10" r:id="rId5"/>
    <sheet name="Sales by Region" sheetId="3" r:id="rId6"/>
    <sheet name="Sheet7" sheetId="8" r:id="rId7"/>
    <sheet name="Sheet4" sheetId="9" r:id="rId8"/>
    <sheet name="SalesTbl" sheetId="1" r:id="rId9"/>
    <sheet name="Sheet1" sheetId="2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3" i="1"/>
  <c r="O4" i="1"/>
  <c r="O5" i="1"/>
  <c r="O6" i="1"/>
  <c r="O7" i="1"/>
  <c r="O8" i="1"/>
  <c r="O9" i="1"/>
  <c r="O2" i="1"/>
  <c r="N3" i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B5" i="2"/>
  <c r="B4" i="2"/>
  <c r="B3" i="2"/>
  <c r="B2" i="2"/>
</calcChain>
</file>

<file path=xl/sharedStrings.xml><?xml version="1.0" encoding="utf-8"?>
<sst xmlns="http://schemas.openxmlformats.org/spreadsheetml/2006/main" count="7061" uniqueCount="232">
  <si>
    <t>Order_ID</t>
  </si>
  <si>
    <t>Date</t>
  </si>
  <si>
    <t>Region</t>
  </si>
  <si>
    <t>Salesperson</t>
  </si>
  <si>
    <t>Product</t>
  </si>
  <si>
    <t>Category</t>
  </si>
  <si>
    <t>Units_Sold</t>
  </si>
  <si>
    <t>Unit_Price</t>
  </si>
  <si>
    <t>Sales</t>
  </si>
  <si>
    <t>Cost</t>
  </si>
  <si>
    <t>Profit</t>
  </si>
  <si>
    <t>Payment_Method</t>
  </si>
  <si>
    <t>Customer_Type</t>
  </si>
  <si>
    <t>28-02-2025</t>
  </si>
  <si>
    <t>Leeds</t>
  </si>
  <si>
    <t>Ali</t>
  </si>
  <si>
    <t>Tablet</t>
  </si>
  <si>
    <t>Electronics</t>
  </si>
  <si>
    <t>Card</t>
  </si>
  <si>
    <t>New</t>
  </si>
  <si>
    <t>23-05-2025</t>
  </si>
  <si>
    <t>Birmingham</t>
  </si>
  <si>
    <t>Keyboard</t>
  </si>
  <si>
    <t>Accessories</t>
  </si>
  <si>
    <t>Bank Transfer</t>
  </si>
  <si>
    <t>12-02-2025</t>
  </si>
  <si>
    <t>Emma</t>
  </si>
  <si>
    <t>Monitor</t>
  </si>
  <si>
    <t>Apple Pay</t>
  </si>
  <si>
    <t>Returning</t>
  </si>
  <si>
    <t>01-02-2025</t>
  </si>
  <si>
    <t>Manchester</t>
  </si>
  <si>
    <t>John</t>
  </si>
  <si>
    <t>Google Pay</t>
  </si>
  <si>
    <t>23-03-2025</t>
  </si>
  <si>
    <t>Sarah</t>
  </si>
  <si>
    <t>03-05-2025</t>
  </si>
  <si>
    <t>09-01-2025</t>
  </si>
  <si>
    <t>Cash</t>
  </si>
  <si>
    <t>27-03-2025</t>
  </si>
  <si>
    <t>London</t>
  </si>
  <si>
    <t>Phone</t>
  </si>
  <si>
    <t>11-04-2025</t>
  </si>
  <si>
    <t>30-04-2025</t>
  </si>
  <si>
    <t>13-01-2025</t>
  </si>
  <si>
    <t>20-05-2025</t>
  </si>
  <si>
    <t>15-03-2025</t>
  </si>
  <si>
    <t>10-05-2025</t>
  </si>
  <si>
    <t>Mouse</t>
  </si>
  <si>
    <t>21-01-2025</t>
  </si>
  <si>
    <t>28-06-2025</t>
  </si>
  <si>
    <t>13-05-2025</t>
  </si>
  <si>
    <t>13-03-2025</t>
  </si>
  <si>
    <t>18-04-2025</t>
  </si>
  <si>
    <t>Laptop</t>
  </si>
  <si>
    <t>07-02-2025</t>
  </si>
  <si>
    <t>20-01-2025</t>
  </si>
  <si>
    <t>26-04-2025</t>
  </si>
  <si>
    <t>18-02-2025</t>
  </si>
  <si>
    <t>04-06-2025</t>
  </si>
  <si>
    <t>17-01-2025</t>
  </si>
  <si>
    <t>22-06-2025</t>
  </si>
  <si>
    <t>11-05-2025</t>
  </si>
  <si>
    <t>01-01-2025</t>
  </si>
  <si>
    <t>08-01-2025</t>
  </si>
  <si>
    <t>09-05-2025</t>
  </si>
  <si>
    <t>08-04-2025</t>
  </si>
  <si>
    <t>30-03-2025</t>
  </si>
  <si>
    <t>06-04-2025</t>
  </si>
  <si>
    <t>24-05-2025</t>
  </si>
  <si>
    <t>01-03-2025</t>
  </si>
  <si>
    <t>28-04-2025</t>
  </si>
  <si>
    <t>02-03-2025</t>
  </si>
  <si>
    <t>16-06-2025</t>
  </si>
  <si>
    <t>21-02-2025</t>
  </si>
  <si>
    <t>27-06-2025</t>
  </si>
  <si>
    <t>26-06-2025</t>
  </si>
  <si>
    <t>07-05-2025</t>
  </si>
  <si>
    <t>01-06-2025</t>
  </si>
  <si>
    <t>25-05-2025</t>
  </si>
  <si>
    <t>17-04-2025</t>
  </si>
  <si>
    <t>22-04-2025</t>
  </si>
  <si>
    <t>05-01-2025</t>
  </si>
  <si>
    <t>20-06-2025</t>
  </si>
  <si>
    <t>29-04-2025</t>
  </si>
  <si>
    <t>13-06-2025</t>
  </si>
  <si>
    <t>21-04-2025</t>
  </si>
  <si>
    <t>05-02-2025</t>
  </si>
  <si>
    <t>11-02-2025</t>
  </si>
  <si>
    <t>10-04-2025</t>
  </si>
  <si>
    <t>12-01-2025</t>
  </si>
  <si>
    <t>08-02-2025</t>
  </si>
  <si>
    <t>22-02-2025</t>
  </si>
  <si>
    <t>08-06-2025</t>
  </si>
  <si>
    <t>24-03-2025</t>
  </si>
  <si>
    <t>14-02-2025</t>
  </si>
  <si>
    <t>02-06-2025</t>
  </si>
  <si>
    <t>16-04-2025</t>
  </si>
  <si>
    <t>29-05-2025</t>
  </si>
  <si>
    <t>05-06-2025</t>
  </si>
  <si>
    <t>22-01-2025</t>
  </si>
  <si>
    <t>16-02-2025</t>
  </si>
  <si>
    <t>31-05-2025</t>
  </si>
  <si>
    <t>03-02-2025</t>
  </si>
  <si>
    <t>04-01-2025</t>
  </si>
  <si>
    <t>09-06-2025</t>
  </si>
  <si>
    <t>27-05-2025</t>
  </si>
  <si>
    <t>25-04-2025</t>
  </si>
  <si>
    <t>14-04-2025</t>
  </si>
  <si>
    <t>27-04-2025</t>
  </si>
  <si>
    <t>20-04-2025</t>
  </si>
  <si>
    <t>15-04-2025</t>
  </si>
  <si>
    <t>11-06-2025</t>
  </si>
  <si>
    <t>16-05-2025</t>
  </si>
  <si>
    <t>26-01-2025</t>
  </si>
  <si>
    <t>10-06-2025</t>
  </si>
  <si>
    <t>31-03-2025</t>
  </si>
  <si>
    <t>12-06-2025</t>
  </si>
  <si>
    <t>19-06-2025</t>
  </si>
  <si>
    <t>16-03-2025</t>
  </si>
  <si>
    <t>28-01-2025</t>
  </si>
  <si>
    <t>20-02-2025</t>
  </si>
  <si>
    <t>31-01-2025</t>
  </si>
  <si>
    <t>02-01-2025</t>
  </si>
  <si>
    <t>23-01-2025</t>
  </si>
  <si>
    <t>25-06-2025</t>
  </si>
  <si>
    <t>05-05-2025</t>
  </si>
  <si>
    <t>05-03-2025</t>
  </si>
  <si>
    <t>11-01-2025</t>
  </si>
  <si>
    <t>06-03-2025</t>
  </si>
  <si>
    <t>17-03-2025</t>
  </si>
  <si>
    <t>12-05-2025</t>
  </si>
  <si>
    <t>07-01-2025</t>
  </si>
  <si>
    <t>18-05-2025</t>
  </si>
  <si>
    <t>29-01-2025</t>
  </si>
  <si>
    <t>02-05-2025</t>
  </si>
  <si>
    <t>09-02-2025</t>
  </si>
  <si>
    <t>15-02-2025</t>
  </si>
  <si>
    <t>15-05-2025</t>
  </si>
  <si>
    <t>29-06-2025</t>
  </si>
  <si>
    <t>01-05-2025</t>
  </si>
  <si>
    <t>25-01-2025</t>
  </si>
  <si>
    <t>08-03-2025</t>
  </si>
  <si>
    <t>12-03-2025</t>
  </si>
  <si>
    <t>10-03-2025</t>
  </si>
  <si>
    <t>09-04-2025</t>
  </si>
  <si>
    <t>02-02-2025</t>
  </si>
  <si>
    <t>15-01-2025</t>
  </si>
  <si>
    <t>25-03-2025</t>
  </si>
  <si>
    <t>26-03-2025</t>
  </si>
  <si>
    <t>14-06-2025</t>
  </si>
  <si>
    <t>24-01-2025</t>
  </si>
  <si>
    <t>01-04-2025</t>
  </si>
  <si>
    <t>22-03-2025</t>
  </si>
  <si>
    <t>20-03-2025</t>
  </si>
  <si>
    <t>11-03-2025</t>
  </si>
  <si>
    <t>04-02-2025</t>
  </si>
  <si>
    <t>24-02-2025</t>
  </si>
  <si>
    <t>23-02-2025</t>
  </si>
  <si>
    <t>05-04-2025</t>
  </si>
  <si>
    <t>18-01-2025</t>
  </si>
  <si>
    <t>04-03-2025</t>
  </si>
  <si>
    <t>23-04-2025</t>
  </si>
  <si>
    <t>26-02-2025</t>
  </si>
  <si>
    <t>28-05-2025</t>
  </si>
  <si>
    <t>18-03-2025</t>
  </si>
  <si>
    <t>27-01-2025</t>
  </si>
  <si>
    <t>14-01-2025</t>
  </si>
  <si>
    <t>21-03-2025</t>
  </si>
  <si>
    <t>26-05-2025</t>
  </si>
  <si>
    <t>03-01-2025</t>
  </si>
  <si>
    <t>03-04-2025</t>
  </si>
  <si>
    <t>14-03-2025</t>
  </si>
  <si>
    <t>17-02-2025</t>
  </si>
  <si>
    <t>29-03-2025</t>
  </si>
  <si>
    <t>06-05-2025</t>
  </si>
  <si>
    <t>06-01-2025</t>
  </si>
  <si>
    <t>10-02-2025</t>
  </si>
  <si>
    <t>06-02-2025</t>
  </si>
  <si>
    <t>22-05-2025</t>
  </si>
  <si>
    <t>25-02-2025</t>
  </si>
  <si>
    <t>16-01-2025</t>
  </si>
  <si>
    <t>28-03-2025</t>
  </si>
  <si>
    <t>04-04-2025</t>
  </si>
  <si>
    <t>12-04-2025</t>
  </si>
  <si>
    <t>17-06-2025</t>
  </si>
  <si>
    <t>15-06-2025</t>
  </si>
  <si>
    <t>21-06-2025</t>
  </si>
  <si>
    <t>06-06-2025</t>
  </si>
  <si>
    <t>04-05-2025</t>
  </si>
  <si>
    <t>30-06-2025</t>
  </si>
  <si>
    <t>08-05-2025</t>
  </si>
  <si>
    <t>17-05-2025</t>
  </si>
  <si>
    <t>19-04-2025</t>
  </si>
  <si>
    <t>02-04-2025</t>
  </si>
  <si>
    <t>13-02-2025</t>
  </si>
  <si>
    <t>19-05-2025</t>
  </si>
  <si>
    <t>13-04-2025</t>
  </si>
  <si>
    <t>30-05-2025</t>
  </si>
  <si>
    <t>07-04-2025</t>
  </si>
  <si>
    <t>03-03-2025</t>
  </si>
  <si>
    <t>30-01-2025</t>
  </si>
  <si>
    <t>19-02-2025</t>
  </si>
  <si>
    <t>24-06-2025</t>
  </si>
  <si>
    <t>19-01-2025</t>
  </si>
  <si>
    <t>27-02-2025</t>
  </si>
  <si>
    <t>14-05-2025</t>
  </si>
  <si>
    <t>23-06-2025</t>
  </si>
  <si>
    <t>18-06-2025</t>
  </si>
  <si>
    <t>03-06-2025</t>
  </si>
  <si>
    <t>24-04-2025</t>
  </si>
  <si>
    <t>09-03-2025</t>
  </si>
  <si>
    <t>07-03-2025</t>
  </si>
  <si>
    <t>07-06-2025</t>
  </si>
  <si>
    <t>Total Sales</t>
  </si>
  <si>
    <t>Total Profit</t>
  </si>
  <si>
    <t>Total Orders</t>
  </si>
  <si>
    <t>Average Sales</t>
  </si>
  <si>
    <t>Profit_Status</t>
  </si>
  <si>
    <t>Month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</si>
  <si>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</si>
  <si>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</si>
  <si>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</si>
  <si>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</si>
  <si>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</si>
  <si>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</si>
  <si>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</si>
  <si>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</si>
  <si>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</si>
  <si>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</si>
  <si>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Count of Order_ID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</si>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</sst>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GBP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[excel-sales-dashboard-project.xlsx]Payment Method Analysis (Pivot 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</a:t>
            </a:r>
            <a:r>
              <a:rPr lang="en-US" b="1" baseline="0"/>
              <a:t> method analysis</a:t>
            </a:r>
            <a:endParaRPr lang="en-US" b="1"/>
          </a:p>
        </c:rich>
      </c:tx>
      <c:layout>
        <c:manualLayout>
          <c:xMode val="edge"/>
          <c:yMode val="edge"/>
          <c:x val="0.17750401084774889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cap="rnd">
            <a:solidFill>
              <a:schemeClr val="accent1"/>
            </a:solidFill>
            <a:beve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063122275004881"/>
          <c:y val="0.19499756679351254"/>
          <c:w val="0.77565887941693235"/>
          <c:h val="0.4941878275853816"/>
        </c:manualLayout>
      </c:layout>
      <c:pieChart>
        <c:varyColors val="1"/>
        <c:ser>
          <c:idx val="0"/>
          <c:order val="0"/>
          <c:tx>
            <c:strRef>
              <c:f>'Payment Method Analysis (Pivot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E2-41D0-940B-32FEBB498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cap="rnd">
                <a:solidFill>
                  <a:schemeClr val="accent1"/>
                </a:solidFill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E2-41D0-940B-32FEBB498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'Payment Method Analysis (Pivot '!$A$4:$A$9</c:f>
              <c:strCache>
                <c:ptCount val="5"/>
                <c:pt idx="0">
                  <c:v>Apple Pay</c:v>
                </c:pt>
                <c:pt idx="1">
                  <c:v>Bank Transfer</c:v>
                </c:pt>
                <c:pt idx="2">
                  <c:v>Card</c:v>
                </c:pt>
                <c:pt idx="3">
                  <c:v>Cash</c:v>
                </c:pt>
                <c:pt idx="4">
                  <c:v>Google Pay</c:v>
                </c:pt>
              </c:strCache>
            </c:strRef>
          </c:cat>
          <c:val>
            <c:numRef>
              <c:f>'Payment Method Analysis (Pivot '!$B$4:$B$9</c:f>
              <c:numCache>
                <c:formatCode>General</c:formatCode>
                <c:ptCount val="5"/>
                <c:pt idx="0">
                  <c:v>206</c:v>
                </c:pt>
                <c:pt idx="1">
                  <c:v>209</c:v>
                </c:pt>
                <c:pt idx="2">
                  <c:v>188</c:v>
                </c:pt>
                <c:pt idx="3">
                  <c:v>194</c:v>
                </c:pt>
                <c:pt idx="4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2-41D0-940B-32FEBB498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887446784462948"/>
          <c:y val="0.69061624115167419"/>
          <c:w val="0.64836617312788047"/>
          <c:h val="0.175234073013600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[excel-sales-dashboard-project.xlsx]sales by month 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month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by month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by month '!$B$4:$B$10</c:f>
              <c:numCache>
                <c:formatCode>[$GBP]\ #,##0.00</c:formatCode>
                <c:ptCount val="6"/>
                <c:pt idx="0">
                  <c:v>533856</c:v>
                </c:pt>
                <c:pt idx="1">
                  <c:v>457985</c:v>
                </c:pt>
                <c:pt idx="2">
                  <c:v>473270</c:v>
                </c:pt>
                <c:pt idx="3">
                  <c:v>564909</c:v>
                </c:pt>
                <c:pt idx="4">
                  <c:v>434214</c:v>
                </c:pt>
                <c:pt idx="5">
                  <c:v>475415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F-47F6-8CCB-70E5065D1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684207"/>
        <c:axId val="427684687"/>
      </c:barChart>
      <c:catAx>
        <c:axId val="4276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84687"/>
        <c:crosses val="autoZero"/>
        <c:auto val="1"/>
        <c:lblAlgn val="ctr"/>
        <c:lblOffset val="100"/>
        <c:noMultiLvlLbl val="0"/>
      </c:catAx>
      <c:valAx>
        <c:axId val="42768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GBP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[excel-sales-dashboard-project.xlsx]Salesperson Performance!PivotTable5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'Salesperson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'Salesperson Performance'!$A$4:$A$8</c:f>
              <c:strCache>
                <c:ptCount val="4"/>
                <c:pt idx="0">
                  <c:v>Ali</c:v>
                </c:pt>
                <c:pt idx="1">
                  <c:v>Emma</c:v>
                </c:pt>
                <c:pt idx="2">
                  <c:v>John</c:v>
                </c:pt>
                <c:pt idx="3">
                  <c:v>Sarah</c:v>
                </c:pt>
              </c:strCache>
            </c:strRef>
          </c:cat>
          <c:val>
            <c:numRef>
              <c:f>'Salesperson Performance'!$B$4:$B$8</c:f>
              <c:numCache>
                <c:formatCode>[$GBP]\ #,##0.00</c:formatCode>
                <c:ptCount val="4"/>
                <c:pt idx="0">
                  <c:v>805492</c:v>
                </c:pt>
                <c:pt idx="1">
                  <c:v>634604</c:v>
                </c:pt>
                <c:pt idx="2">
                  <c:v>756890</c:v>
                </c:pt>
                <c:pt idx="3">
                  <c:v>742663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C-4DA7-A66B-1A37EAF26BB9}"/>
            </c:ext>
          </c:extLst>
        </c:ser>
        <c:ser>
          <c:idx val="1"/>
          <c:order val="1"/>
          <c:tx>
            <c:strRef>
              <c:f>'Salesperson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'Salesperson Performance'!$A$4:$A$8</c:f>
              <c:strCache>
                <c:ptCount val="4"/>
                <c:pt idx="0">
                  <c:v>Ali</c:v>
                </c:pt>
                <c:pt idx="1">
                  <c:v>Emma</c:v>
                </c:pt>
                <c:pt idx="2">
                  <c:v>John</c:v>
                </c:pt>
                <c:pt idx="3">
                  <c:v>Sarah</c:v>
                </c:pt>
              </c:strCache>
            </c:strRef>
          </c:cat>
          <c:val>
            <c:numRef>
              <c:f>'Salesperson Performance'!$C$4:$C$8</c:f>
              <c:numCache>
                <c:formatCode>[$GBP]\ #,##0.00</c:formatCode>
                <c:ptCount val="4"/>
                <c:pt idx="0">
                  <c:v>243574</c:v>
                </c:pt>
                <c:pt idx="1">
                  <c:v>197406</c:v>
                </c:pt>
                <c:pt idx="2">
                  <c:v>226593</c:v>
                </c:pt>
                <c:pt idx="3">
                  <c:v>221993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C-4DA7-A66B-1A37EAF26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891248"/>
        <c:axId val="1249890288"/>
      </c:barChart>
      <c:catAx>
        <c:axId val="124989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90288"/>
        <c:crosses val="autoZero"/>
        <c:auto val="1"/>
        <c:lblAlgn val="ctr"/>
        <c:lblOffset val="100"/>
        <c:noMultiLvlLbl val="0"/>
      </c:catAx>
      <c:valAx>
        <c:axId val="124989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GBP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[excel-sales-dashboard-project.xlsx]Profit by Product!PivotTable3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by Product'!$A$4:$A$10</c:f>
              <c:strCache>
                <c:ptCount val="6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Phone</c:v>
                </c:pt>
                <c:pt idx="5">
                  <c:v>Tablet</c:v>
                </c:pt>
              </c:strCache>
            </c:strRef>
          </c:cat>
          <c:val>
            <c:numRef>
              <c:f>'Profit by Product'!$B$4:$B$10</c:f>
              <c:numCache>
                <c:formatCode>[$GBP]\ #,##0.00</c:formatCode>
                <c:ptCount val="6"/>
                <c:pt idx="0">
                  <c:v>149268</c:v>
                </c:pt>
                <c:pt idx="1">
                  <c:v>152431</c:v>
                </c:pt>
                <c:pt idx="2">
                  <c:v>131787</c:v>
                </c:pt>
                <c:pt idx="3">
                  <c:v>166344</c:v>
                </c:pt>
                <c:pt idx="4">
                  <c:v>148048</c:v>
                </c:pt>
                <c:pt idx="5">
                  <c:v>141688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0-465C-A1E5-8A02B829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742767"/>
        <c:axId val="427752367"/>
      </c:barChart>
      <c:catAx>
        <c:axId val="42774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52367"/>
        <c:crosses val="autoZero"/>
        <c:auto val="1"/>
        <c:lblAlgn val="ctr"/>
        <c:lblOffset val="100"/>
        <c:noMultiLvlLbl val="0"/>
      </c:catAx>
      <c:valAx>
        <c:axId val="4277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GBP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4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[excel-sales-dashboard-project.xlsx]Sales by Region!PivotTable1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60756629559236"/>
          <c:y val="0.25857697747567071"/>
          <c:w val="0.70515865689202639"/>
          <c:h val="0.55385467902303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Birmingham</c:v>
                </c:pt>
                <c:pt idx="1">
                  <c:v>Leeds</c:v>
                </c:pt>
                <c:pt idx="2">
                  <c:v>London</c:v>
                </c:pt>
                <c:pt idx="3">
                  <c:v>Manchester</c:v>
                </c:pt>
              </c:strCache>
            </c:strRef>
          </c:cat>
          <c:val>
            <c:numRef>
              <c:f>'Sales by Region'!$B$4:$B$8</c:f>
              <c:numCache>
                <c:formatCode>[$GBP]\ #,##0.00</c:formatCode>
                <c:ptCount val="4"/>
                <c:pt idx="0">
                  <c:v>703054</c:v>
                </c:pt>
                <c:pt idx="1">
                  <c:v>680031</c:v>
                </c:pt>
                <c:pt idx="2">
                  <c:v>766066</c:v>
                </c:pt>
                <c:pt idx="3">
                  <c:v>790498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9-4442-BCF4-ED8A2DE58A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695727"/>
        <c:axId val="427687567"/>
      </c:barChart>
      <c:catAx>
        <c:axId val="4276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87567"/>
        <c:crosses val="autoZero"/>
        <c:auto val="1"/>
        <c:lblAlgn val="ctr"/>
        <c:lblOffset val="100"/>
        <c:noMultiLvlLbl val="0"/>
      </c:catAx>
      <c:valAx>
        <c:axId val="42768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GBP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[excel-sales-dashboard-project.xlsx]Sheet7!PivotTable7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754624"/>
        <c:axId val="1260755104"/>
      </c:barChart>
      <c:catAx>
        <c:axId val="1260754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55104"/>
        <c:crosses val="autoZero"/>
        <c:auto val="1"/>
        <c:lblAlgn val="ctr"/>
        <c:lblOffset val="100"/>
        <c:noMultiLvlLbl val="0"/>
      </c:catAx>
      <c:valAx>
        <c:axId val="126075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5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3</xdr:col>
      <xdr:colOff>205740</xdr:colOff>
      <xdr:row>34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78EA1-E78E-436E-AC98-DC41237BB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388620</xdr:colOff>
      <xdr:row>15</xdr:row>
      <xdr:rowOff>121920</xdr:rowOff>
    </xdr:from>
    <xdr:to>
      <xdr:col>21</xdr:col>
      <xdr:colOff>327660</xdr:colOff>
      <xdr:row>32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748571-D48A-4773-B00A-D769B66F8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495300</xdr:colOff>
      <xdr:row>0</xdr:row>
      <xdr:rowOff>0</xdr:rowOff>
    </xdr:from>
    <xdr:to>
      <xdr:col>21</xdr:col>
      <xdr:colOff>312420</xdr:colOff>
      <xdr:row>15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C6CE83-0DF0-44F5-A07F-2666C8222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205740</xdr:colOff>
      <xdr:row>15</xdr:row>
      <xdr:rowOff>175260</xdr:rowOff>
    </xdr:from>
    <xdr:to>
      <xdr:col>12</xdr:col>
      <xdr:colOff>396240</xdr:colOff>
      <xdr:row>32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AB0467-9C56-4EF1-84BD-0F7A1E277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228600</xdr:colOff>
      <xdr:row>0</xdr:row>
      <xdr:rowOff>30480</xdr:rowOff>
    </xdr:from>
    <xdr:to>
      <xdr:col>12</xdr:col>
      <xdr:colOff>472440</xdr:colOff>
      <xdr:row>15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031C43-889E-4239-A9B9-BF312632C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8</xdr:row>
      <xdr:rowOff>148590</xdr:rowOff>
    </xdr:from>
    <xdr:to>
      <xdr:col>12</xdr:col>
      <xdr:colOff>510540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1E855-8316-AD4A-BD60-351CB07E0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 P" refreshedDate="46052.875702893522" createdVersion="8" refreshedVersion="8" minRefreshableVersion="3" recordCount="1001" xr:uid="{4F945BC8-FE86-460B-A88F-2A7B8D5C89D7}">
  <cacheSource type="worksheet">
    <worksheetSource name="SalesTbl"/>
  </cacheSource>
  <cacheFields count="15">
    <cacheField name="Order_ID" numFmtId="0">
      <sharedItems containsString="0" containsBlank="1" containsNumber="1" containsInteger="1" minValue="1001" maxValue="2000"/>
    </cacheField>
    <cacheField name="Date" numFmtId="0">
      <sharedItems containsBlank="1"/>
    </cacheField>
    <cacheField name="Region" numFmtId="0">
      <sharedItems containsBlank="1" count="5">
        <s v="Leeds"/>
        <s v="Birmingham"/>
        <s v="Manchester"/>
        <s v="London"/>
        <m/>
      </sharedItems>
    </cacheField>
    <cacheField name="Salesperson" numFmtId="0">
      <sharedItems containsBlank="1" count="5">
        <s v="Ali"/>
        <s v="Emma"/>
        <s v="John"/>
        <s v="Sarah"/>
        <m/>
      </sharedItems>
    </cacheField>
    <cacheField name="Product" numFmtId="0">
      <sharedItems containsBlank="1" count="7">
        <s v="Tablet"/>
        <s v="Keyboard"/>
        <s v="Monitor"/>
        <s v="Phone"/>
        <s v="Laptop"/>
        <s v="Mouse"/>
        <m/>
      </sharedItems>
    </cacheField>
    <cacheField name="Category" numFmtId="0">
      <sharedItems containsBlank="1"/>
    </cacheField>
    <cacheField name="Units_Sold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51" maxValue="999"/>
    </cacheField>
    <cacheField name="Sales" numFmtId="0">
      <sharedItems containsString="0" containsBlank="1" containsNumber="1" containsInteger="1" minValue="75" maxValue="9930" count="873">
        <n v="708"/>
        <n v="1035"/>
        <n v="630"/>
        <n v="4683"/>
        <n v="2235"/>
        <n v="1925"/>
        <n v="3060"/>
        <n v="9750"/>
        <n v="5510"/>
        <n v="9830"/>
        <n v="5313"/>
        <n v="8649"/>
        <n v="2712"/>
        <n v="1288"/>
        <n v="1252"/>
        <n v="726"/>
        <n v="7875"/>
        <n v="1500"/>
        <n v="3316"/>
        <n v="1485"/>
        <n v="7479"/>
        <n v="7320"/>
        <n v="1320"/>
        <n v="8874"/>
        <n v="7047"/>
        <n v="6714"/>
        <n v="3016"/>
        <n v="7860"/>
        <n v="1410"/>
        <n v="2016"/>
        <n v="4540"/>
        <n v="6672"/>
        <n v="525"/>
        <n v="7744"/>
        <n v="6356"/>
        <n v="1008"/>
        <n v="6615"/>
        <n v="1434"/>
        <n v="840"/>
        <n v="1295"/>
        <n v="4185"/>
        <n v="1635"/>
        <n v="2172"/>
        <n v="4396"/>
        <n v="6780"/>
        <n v="1465"/>
        <n v="3318"/>
        <n v="3088"/>
        <n v="187"/>
        <n v="5769"/>
        <n v="3396"/>
        <n v="6561"/>
        <n v="1020"/>
        <n v="620"/>
        <n v="6440"/>
        <n v="6208"/>
        <n v="6930"/>
        <n v="713"/>
        <n v="1590"/>
        <n v="4158"/>
        <n v="1542"/>
        <n v="1316"/>
        <n v="6633"/>
        <n v="6200"/>
        <n v="6041"/>
        <n v="5463"/>
        <n v="6480"/>
        <n v="6910"/>
        <n v="5892"/>
        <n v="6744"/>
        <n v="8892"/>
        <n v="1392"/>
        <n v="4146"/>
        <n v="4995"/>
        <n v="1784"/>
        <n v="560"/>
        <n v="3128"/>
        <n v="368"/>
        <n v="238"/>
        <n v="916"/>
        <n v="2284"/>
        <n v="4338"/>
        <n v="549"/>
        <n v="2365"/>
        <n v="6090"/>
        <n v="5202"/>
        <n v="3824"/>
        <n v="7630"/>
        <n v="1428"/>
        <n v="504"/>
        <n v="2970"/>
        <n v="5922"/>
        <n v="867"/>
        <n v="2740"/>
        <n v="8770"/>
        <n v="3120"/>
        <n v="4900"/>
        <n v="2154"/>
        <n v="664"/>
        <n v="4884"/>
        <n v="882"/>
        <n v="5265"/>
        <n v="6750"/>
        <n v="2408"/>
        <n v="8460"/>
        <n v="1768"/>
        <n v="6097"/>
        <n v="1445"/>
        <n v="5823"/>
        <n v="360"/>
        <n v="432"/>
        <n v="1190"/>
        <n v="1228"/>
        <n v="1498"/>
        <n v="4508"/>
        <n v="7425"/>
        <n v="3984"/>
        <n v="6072"/>
        <n v="248"/>
        <n v="2637"/>
        <n v="1002"/>
        <n v="8397"/>
        <n v="522"/>
        <n v="980"/>
        <n v="7290"/>
        <n v="3996"/>
        <n v="3790"/>
        <n v="2430"/>
        <n v="2646"/>
        <n v="672"/>
        <n v="1161"/>
        <n v="7888"/>
        <n v="410"/>
        <n v="4920"/>
        <n v="540"/>
        <n v="6792"/>
        <n v="2829"/>
        <n v="950"/>
        <n v="700"/>
        <n v="3360"/>
        <n v="424"/>
        <n v="6811"/>
        <n v="5988"/>
        <n v="2880"/>
        <n v="2007"/>
        <n v="1710"/>
        <n v="735"/>
        <n v="2590"/>
        <n v="1832"/>
        <n v="7416"/>
        <n v="4176"/>
        <n v="1494"/>
        <n v="6272"/>
        <n v="1446"/>
        <n v="4152"/>
        <n v="4240"/>
        <n v="2526"/>
        <n v="2652"/>
        <n v="5474"/>
        <n v="4655"/>
        <n v="928"/>
        <n v="878"/>
        <n v="995"/>
        <n v="1738"/>
        <n v="2061"/>
        <n v="5040"/>
        <n v="3068"/>
        <n v="521"/>
        <n v="4634"/>
        <n v="4278"/>
        <n v="4564"/>
        <n v="738"/>
        <n v="4781"/>
        <n v="8660"/>
        <n v="7832"/>
        <n v="6408"/>
        <n v="566"/>
        <n v="920"/>
        <n v="4175"/>
        <n v="137"/>
        <n v="2056"/>
        <n v="5936"/>
        <n v="4528"/>
        <n v="3368"/>
        <n v="2256"/>
        <n v="2994"/>
        <n v="5176"/>
        <n v="696"/>
        <n v="4495"/>
        <n v="8856"/>
        <n v="879"/>
        <n v="469"/>
        <n v="9520"/>
        <n v="165"/>
        <n v="945"/>
        <n v="2495"/>
        <n v="2400"/>
        <n v="1554"/>
        <n v="960"/>
        <n v="6376"/>
        <n v="1491"/>
        <n v="1144"/>
        <n v="4944"/>
        <n v="7808"/>
        <n v="4254"/>
        <n v="4077"/>
        <n v="3260"/>
        <n v="2094"/>
        <n v="1116"/>
        <n v="468"/>
        <n v="1773"/>
        <n v="1088"/>
        <n v="1761"/>
        <n v="306"/>
        <n v="4424"/>
        <n v="7920"/>
        <n v="822"/>
        <n v="3436"/>
        <n v="820"/>
        <n v="3750"/>
        <n v="102"/>
        <n v="1176"/>
        <n v="2940"/>
        <n v="4515"/>
        <n v="5360"/>
        <n v="6696"/>
        <n v="2574"/>
        <n v="1890"/>
        <n v="2040"/>
        <n v="736"/>
        <n v="3440"/>
        <n v="6060"/>
        <n v="5586"/>
        <n v="2898"/>
        <n v="3708"/>
        <n v="3156"/>
        <n v="1170"/>
        <n v="937"/>
        <n v="8532"/>
        <n v="3423"/>
        <n v="4608"/>
        <n v="730"/>
        <n v="6916"/>
        <n v="3040"/>
        <n v="5049"/>
        <n v="345"/>
        <n v="3800"/>
        <n v="7281"/>
        <n v="8930"/>
        <n v="5272"/>
        <n v="6304"/>
        <n v="2835"/>
        <n v="680"/>
        <n v="3460"/>
        <n v="3335"/>
        <n v="1062"/>
        <n v="3680"/>
        <n v="1908"/>
        <n v="3150"/>
        <n v="7952"/>
        <n v="7776"/>
        <n v="3330"/>
        <n v="7352"/>
        <n v="1022"/>
        <n v="752"/>
        <n v="1128"/>
        <n v="194"/>
        <n v="3822"/>
        <n v="3590"/>
        <n v="3950"/>
        <n v="512"/>
        <n v="9160"/>
        <n v="2331"/>
        <n v="1416"/>
        <n v="1812"/>
        <n v="3600"/>
        <n v="632"/>
        <n v="4490"/>
        <n v="3760"/>
        <n v="2885"/>
        <n v="6482"/>
        <n v="1772"/>
        <n v="2401"/>
        <n v="3900"/>
        <n v="6432"/>
        <n v="1242"/>
        <n v="4392"/>
        <n v="228"/>
        <n v="5376"/>
        <n v="5020"/>
        <n v="5944"/>
        <n v="568"/>
        <n v="9240"/>
        <n v="2745"/>
        <n v="665"/>
        <n v="6783"/>
        <n v="9930"/>
        <n v="4932"/>
        <n v="6195"/>
        <n v="1248"/>
        <n v="4070"/>
        <n v="3610"/>
        <n v="2952"/>
        <n v="1188"/>
        <n v="711"/>
        <n v="400"/>
        <n v="1280"/>
        <n v="1456"/>
        <n v="2989"/>
        <n v="1956"/>
        <n v="365"/>
        <n v="580"/>
        <n v="372"/>
        <n v="3504"/>
        <n v="661"/>
        <n v="1424"/>
        <n v="3475"/>
        <n v="4144"/>
        <n v="2192"/>
        <n v="2954"/>
        <n v="699"/>
        <n v="932"/>
        <n v="908"/>
        <n v="2540"/>
        <n v="1914"/>
        <n v="1344"/>
        <n v="3645"/>
        <n v="2490"/>
        <n v="2613"/>
        <n v="3240"/>
        <n v="8847"/>
        <n v="2200"/>
        <n v="4284"/>
        <n v="769"/>
        <n v="495"/>
        <n v="1220"/>
        <n v="4840"/>
        <n v="2520"/>
        <n v="2905"/>
        <n v="5770"/>
        <n v="2736"/>
        <n v="5912"/>
        <n v="8334"/>
        <n v="5915"/>
        <n v="5300"/>
        <n v="3668"/>
        <n v="1952"/>
        <n v="4560"/>
        <n v="139"/>
        <n v="4509"/>
        <n v="2632"/>
        <n v="352"/>
        <n v="4740"/>
        <n v="182"/>
        <n v="300"/>
        <n v="5460"/>
        <n v="4048"/>
        <n v="3450"/>
        <n v="462"/>
        <n v="2656"/>
        <n v="3385"/>
        <n v="4296"/>
        <n v="7570"/>
        <n v="110"/>
        <n v="7936"/>
        <n v="3660"/>
        <n v="917"/>
        <n v="650"/>
        <n v="2538"/>
        <n v="2295"/>
        <n v="1224"/>
        <n v="2370"/>
        <n v="2630"/>
        <n v="2304"/>
        <n v="2232"/>
        <n v="265"/>
        <n v="2935"/>
        <n v="3670"/>
        <n v="786"/>
        <n v="868"/>
        <n v="2680"/>
        <n v="622"/>
        <n v="4074"/>
        <n v="3720"/>
        <n v="2337"/>
        <n v="648"/>
        <n v="4656"/>
        <n v="7720"/>
        <n v="3685"/>
        <n v="1674"/>
        <n v="3512"/>
        <n v="1666"/>
        <n v="8480"/>
        <n v="4779"/>
        <n v="9570"/>
        <n v="910"/>
        <n v="2600"/>
        <n v="7236"/>
        <n v="4260"/>
        <n v="1358"/>
        <n v="1461"/>
        <n v="597"/>
        <n v="3564"/>
        <n v="639"/>
        <n v="1998"/>
        <n v="2028"/>
        <n v="273"/>
        <n v="436"/>
        <n v="5526"/>
        <n v="4088"/>
        <n v="486"/>
        <n v="2754"/>
        <n v="2848"/>
        <n v="2090"/>
        <n v="1968"/>
        <n v="2674"/>
        <n v="2199"/>
        <n v="608"/>
        <n v="2640"/>
        <n v="1372"/>
        <n v="1468"/>
        <n v="1731"/>
        <n v="3616"/>
        <n v="640"/>
        <n v="1230"/>
        <n v="5814"/>
        <n v="3078"/>
        <n v="993"/>
        <n v="3172"/>
        <n v="1917"/>
        <n v="138"/>
        <n v="1390"/>
        <n v="694"/>
        <n v="2502"/>
        <n v="451"/>
        <n v="520"/>
        <n v="1545"/>
        <n v="1950"/>
        <n v="5724"/>
        <n v="1670"/>
        <n v="1626"/>
        <n v="6335"/>
        <n v="1090"/>
        <n v="294"/>
        <n v="8244"/>
        <n v="3174"/>
        <n v="1364"/>
        <n v="2142"/>
        <n v="2136"/>
        <n v="6412"/>
        <n v="1555"/>
        <n v="1720"/>
        <n v="654"/>
        <n v="1764"/>
        <n v="1616"/>
        <n v="1350"/>
        <n v="373"/>
        <n v="4960"/>
        <n v="2611"/>
        <n v="1725"/>
        <n v="6064"/>
        <n v="4832"/>
        <n v="5920"/>
        <n v="1030"/>
        <n v="1928"/>
        <n v="3672"/>
        <n v="4545"/>
        <n v="4023"/>
        <n v="843"/>
        <n v="2112"/>
        <n v="4506"/>
        <n v="3850"/>
        <n v="425"/>
        <n v="1852"/>
        <n v="948"/>
        <n v="900"/>
        <n v="1953"/>
        <n v="787"/>
        <n v="2280"/>
        <n v="2496"/>
        <n v="2931"/>
        <n v="6344"/>
        <n v="2051"/>
        <n v="4419"/>
        <n v="918"/>
        <n v="6176"/>
        <n v="1547"/>
        <n v="714"/>
        <n v="6624"/>
        <n v="8883"/>
        <n v="958"/>
        <n v="3357"/>
        <n v="2886"/>
        <n v="5940"/>
        <n v="2100"/>
        <n v="3664"/>
        <n v="4870"/>
        <n v="2874"/>
        <n v="1518"/>
        <n v="1598"/>
        <n v="226"/>
        <n v="1550"/>
        <n v="3090"/>
        <n v="2550"/>
        <n v="335"/>
        <n v="2096"/>
        <n v="3825"/>
        <n v="1824"/>
        <n v="2465"/>
        <n v="2255"/>
        <n v="2046"/>
        <n v="3906"/>
        <n v="1560"/>
        <n v="814"/>
        <n v="160"/>
        <n v="1884"/>
        <n v="3731"/>
        <n v="1581"/>
        <n v="320"/>
        <n v="3752"/>
        <n v="2577"/>
        <n v="3400"/>
        <n v="2742"/>
        <n v="286"/>
        <n v="2688"/>
        <n v="3976"/>
        <n v="1640"/>
        <n v="592"/>
        <n v="413"/>
        <n v="7600"/>
        <n v="1932"/>
        <n v="349"/>
        <n v="9690"/>
        <n v="1700"/>
        <n v="2764"/>
        <n v="1980"/>
        <n v="1533"/>
        <n v="2250"/>
        <n v="1098"/>
        <n v="1664"/>
        <n v="1480"/>
        <n v="1744"/>
        <n v="496"/>
        <n v="1270"/>
        <n v="4464"/>
        <n v="3528"/>
        <n v="796"/>
        <n v="472"/>
        <n v="5976"/>
        <n v="3872"/>
        <n v="2048"/>
        <n v="3618"/>
        <n v="760"/>
        <n v="3652"/>
        <n v="3987"/>
        <n v="792"/>
        <n v="2552"/>
        <n v="1210"/>
        <n v="6336"/>
        <n v="3384"/>
        <n v="2673"/>
        <n v="3438"/>
        <n v="1836"/>
        <n v="106"/>
        <n v="651"/>
        <n v="4530"/>
        <n v="378"/>
        <n v="1180"/>
        <n v="1214"/>
        <n v="7470"/>
        <n v="3168"/>
        <n v="1698"/>
        <n v="2850"/>
        <n v="1472"/>
        <n v="2392"/>
        <n v="5572"/>
        <n v="1200"/>
        <n v="455"/>
        <n v="1578"/>
        <n v="984"/>
        <n v="828"/>
        <n v="2233"/>
        <n v="2661"/>
        <n v="1038"/>
        <n v="2010"/>
        <n v="3632"/>
        <n v="973"/>
        <n v="944"/>
        <n v="3768"/>
        <n v="1272"/>
        <n v="1568"/>
        <n v="1938"/>
        <n v="624"/>
        <n v="6405"/>
        <n v="2406"/>
        <n v="8910"/>
        <n v="445"/>
        <n v="3576"/>
        <n v="1665"/>
        <n v="1236"/>
        <n v="1182"/>
        <n v="6503"/>
        <n v="707"/>
        <n v="1104"/>
        <n v="3136"/>
        <n v="1762"/>
        <n v="3496"/>
        <n v="1995"/>
        <n v="6013"/>
        <n v="972"/>
        <n v="1602"/>
        <n v="2607"/>
        <n v="4320"/>
        <n v="2650"/>
        <n v="5766"/>
        <n v="3656"/>
        <n v="1380"/>
        <n v="6536"/>
        <n v="897"/>
        <n v="1752"/>
        <n v="208"/>
        <n v="1734"/>
        <n v="1296"/>
        <n v="1930"/>
        <n v="7398"/>
        <n v="7464"/>
        <n v="1192"/>
        <n v="4600"/>
        <n v="745"/>
        <n v="884"/>
        <n v="1356"/>
        <n v="4080"/>
        <n v="5328"/>
        <n v="676"/>
        <n v="502"/>
        <n v="1354"/>
        <n v="5712"/>
        <n v="5803"/>
        <n v="1340"/>
        <n v="1290"/>
        <n v="1743"/>
        <n v="1226"/>
        <n v="6454"/>
        <n v="1084"/>
        <n v="552"/>
        <n v="1216"/>
        <n v="1140"/>
        <n v="2665"/>
        <n v="3735"/>
        <n v="3609"/>
        <n v="2440"/>
        <n v="4915"/>
        <n v="1800"/>
        <n v="1407"/>
        <n v="8180"/>
        <n v="6504"/>
        <n v="1645"/>
        <n v="1167"/>
        <n v="1125"/>
        <n v="5990"/>
        <n v="4220"/>
        <n v="173"/>
        <n v="428"/>
        <n v="6657"/>
        <n v="1338"/>
        <n v="303"/>
        <n v="6062"/>
        <n v="682"/>
        <n v="2853"/>
        <n v="940"/>
        <n v="188"/>
        <n v="2700"/>
        <n v="2403"/>
        <n v="1204"/>
        <n v="848"/>
        <n v="1486"/>
        <n v="7092"/>
        <n v="2985"/>
        <n v="855"/>
        <n v="798"/>
        <n v="1065"/>
        <n v="812"/>
        <n v="4512"/>
        <n v="4290"/>
        <n v="1748"/>
        <n v="1506"/>
        <n v="1120"/>
        <n v="1374"/>
        <n v="4736"/>
        <n v="6104"/>
        <n v="7722"/>
        <n v="2025"/>
        <n v="4445"/>
        <n v="6282"/>
        <n v="2541"/>
        <n v="7011"/>
        <n v="3300"/>
        <n v="358"/>
        <n v="5850"/>
        <n v="4280"/>
        <n v="799"/>
        <n v="2920"/>
        <n v="214"/>
        <n v="515"/>
        <n v="5886"/>
        <n v="835"/>
        <n v="909"/>
        <n v="2082"/>
        <n v="1749"/>
        <n v="1076"/>
        <n v="728"/>
        <n v="886"/>
        <n v="5350"/>
        <n v="101"/>
        <n v="6544"/>
        <n v="5070"/>
        <n v="924"/>
        <n v="9440"/>
        <n v="2696"/>
        <n v="1092"/>
        <n v="9370"/>
        <n v="805"/>
        <n v="4753"/>
        <n v="1132"/>
        <n v="384"/>
        <n v="1575"/>
        <n v="3780"/>
        <n v="6128"/>
        <n v="1276"/>
        <n v="1060"/>
        <n v="4450"/>
        <n v="756"/>
        <n v="564"/>
        <n v="582"/>
        <n v="4788"/>
        <n v="4806"/>
        <n v="778"/>
        <n v="4653"/>
        <n v="5544"/>
        <n v="941"/>
        <n v="4704"/>
        <n v="1057"/>
        <n v="2214"/>
        <n v="1755"/>
        <n v="3710"/>
        <n v="7623"/>
        <n v="698"/>
        <n v="8210"/>
        <n v="3772"/>
        <n v="1284"/>
        <n v="330"/>
        <n v="872"/>
        <n v="6080"/>
        <n v="612"/>
        <n v="1844"/>
        <n v="3655"/>
        <n v="6188"/>
        <n v="869"/>
        <n v="5946"/>
        <n v="1512"/>
        <n v="2979"/>
        <n v="4580"/>
        <n v="2130"/>
        <n v="477"/>
        <n v="5754"/>
        <n v="3143"/>
        <n v="3965"/>
        <n v="4800"/>
        <n v="364"/>
        <n v="594"/>
        <n v="6786"/>
        <n v="2840"/>
        <n v="3256"/>
        <n v="5082"/>
        <n v="5663"/>
        <n v="4330"/>
        <n v="3568"/>
        <n v="2808"/>
        <n v="5472"/>
        <n v="426"/>
        <n v="816"/>
        <n v="2030"/>
        <n v="4887"/>
        <n v="381"/>
        <n v="1856"/>
        <n v="272"/>
        <n v="3608"/>
        <n v="1735"/>
        <n v="576"/>
        <n v="1165"/>
        <n v="3615"/>
        <n v="2559"/>
        <n v="5424"/>
        <n v="1070"/>
        <n v="2556"/>
        <n v="5216"/>
        <n v="5826"/>
        <n v="655"/>
        <n v="4707"/>
        <n v="290"/>
        <n v="4865"/>
        <n v="5208"/>
        <n v="351"/>
        <n v="6800"/>
        <n v="1043"/>
        <n v="201"/>
        <n v="6550"/>
        <n v="4496"/>
        <n v="7650"/>
        <n v="438"/>
        <n v="5845"/>
        <n v="5390"/>
        <n v="531"/>
        <n v="2478"/>
        <n v="3312"/>
        <n v="3690"/>
        <n v="387"/>
        <n v="408"/>
        <n v="3000"/>
        <n v="1548"/>
        <n v="485"/>
        <n v="1232"/>
        <n v="5000"/>
        <n v="6216"/>
        <n v="644"/>
        <n v="1656"/>
        <n v="906"/>
        <n v="370"/>
        <n v="3880"/>
        <n v="5068"/>
        <n v="7216"/>
        <n v="1820"/>
        <n v="7056"/>
        <n v="2750"/>
        <n v="3714"/>
        <n v="8577"/>
        <n v="3032"/>
        <n v="3234"/>
        <n v="1040"/>
        <n v="222"/>
        <n v="278"/>
        <n v="5838"/>
        <n v="1732"/>
        <n v="7848"/>
        <n v="1300"/>
        <n v="2412"/>
        <n v="6741"/>
        <n v="7248"/>
        <n v="4590"/>
        <n v="4212"/>
        <n v="5456"/>
        <n v="2196"/>
        <n v="333"/>
        <n v="460"/>
        <n v="670"/>
        <n v="1306"/>
        <n v="1470"/>
        <n v="2664"/>
        <n v="6258"/>
        <n v="7218"/>
        <n v="195"/>
        <n v="237"/>
        <n v="3055"/>
        <n v="7659"/>
        <n v="4370"/>
        <n v="7856"/>
        <n v="95"/>
        <n v="153"/>
        <n v="3704"/>
        <n v="1872"/>
        <n v="75"/>
        <n v="85"/>
        <m/>
      </sharedItems>
    </cacheField>
    <cacheField name="Cost" numFmtId="0">
      <sharedItems containsString="0" containsBlank="1" containsNumber="1" containsInteger="1" minValue="47" maxValue="7214"/>
    </cacheField>
    <cacheField name="Profit" numFmtId="0">
      <sharedItems containsString="0" containsBlank="1" containsNumber="1" containsInteger="1" minValue="21" maxValue="3637" count="781">
        <n v="262"/>
        <n v="321"/>
        <n v="164"/>
        <n v="1312"/>
        <n v="470"/>
        <n v="636"/>
        <n v="918"/>
        <n v="3608"/>
        <n v="1653"/>
        <n v="3343"/>
        <n v="1382"/>
        <n v="3201"/>
        <n v="624"/>
        <n v="426"/>
        <n v="263"/>
        <n v="240"/>
        <n v="2993"/>
        <n v="315"/>
        <n v="730"/>
        <n v="387"/>
        <n v="2917"/>
        <n v="2782"/>
        <n v="410"/>
        <n v="3106"/>
        <n v="2467"/>
        <n v="2686"/>
        <n v="1056"/>
        <n v="1730"/>
        <n v="452"/>
        <n v="545"/>
        <n v="1226"/>
        <n v="2002"/>
        <n v="142"/>
        <n v="2401"/>
        <n v="2034"/>
        <n v="343"/>
        <n v="2250"/>
        <n v="560"/>
        <n v="269"/>
        <n v="428"/>
        <n v="1549"/>
        <n v="556"/>
        <n v="609"/>
        <n v="968"/>
        <n v="2238"/>
        <n v="440"/>
        <n v="1295"/>
        <n v="896"/>
        <n v="40"/>
        <n v="2193"/>
        <n v="1189"/>
        <n v="2231"/>
        <n v="266"/>
        <n v="3550"/>
        <n v="155"/>
        <n v="2126"/>
        <n v="2111"/>
        <n v="2079"/>
        <n v="264"/>
        <n v="557"/>
        <n v="1497"/>
        <n v="309"/>
        <n v="487"/>
        <n v="2322"/>
        <n v="1302"/>
        <n v="1994"/>
        <n v="2076"/>
        <n v="1880"/>
        <n v="2004"/>
        <n v="1827"/>
        <n v="1754"/>
        <n v="1957"/>
        <n v="404"/>
        <n v="1286"/>
        <n v="1998"/>
        <n v="482"/>
        <n v="118"/>
        <n v="1095"/>
        <n v="140"/>
        <n v="62"/>
        <n v="193"/>
        <n v="868"/>
        <n v="998"/>
        <n v="149"/>
        <n v="805"/>
        <n v="1401"/>
        <n v="1925"/>
        <n v="1339"/>
        <n v="1832"/>
        <n v="177"/>
        <n v="1010"/>
        <n v="2251"/>
        <n v="347"/>
        <n v="548"/>
        <n v="2895"/>
        <n v="1248"/>
        <n v="1421"/>
        <n v="582"/>
        <n v="166"/>
        <n v="1856"/>
        <n v="283"/>
        <n v="1211"/>
        <n v="1620"/>
        <n v="723"/>
        <n v="1777"/>
        <n v="354"/>
        <n v="1769"/>
        <n v="578"/>
        <n v="1573"/>
        <n v="130"/>
        <n v="100"/>
        <n v="298"/>
        <n v="418"/>
        <n v="390"/>
        <n v="902"/>
        <n v="1708"/>
        <n v="1514"/>
        <n v="1701"/>
        <n v="897"/>
        <n v="1680"/>
        <n v="168"/>
        <n v="275"/>
        <n v="1677"/>
        <n v="999"/>
        <n v="1516"/>
        <n v="802"/>
        <n v="847"/>
        <n v="465"/>
        <n v="3156"/>
        <n v="160"/>
        <n v="1034"/>
        <n v="162"/>
        <n v="1631"/>
        <n v="821"/>
        <n v="252"/>
        <n v="975"/>
        <n v="106"/>
        <n v="2589"/>
        <n v="1438"/>
        <n v="1008"/>
        <n v="623"/>
        <n v="531"/>
        <n v="243"/>
        <n v="648"/>
        <n v="2522"/>
        <n v="1629"/>
        <n v="523"/>
        <n v="1945"/>
        <n v="376"/>
        <n v="1612"/>
        <n v="632"/>
        <n v="743"/>
        <n v="1588"/>
        <n v="1583"/>
        <n v="270"/>
        <n v="165"/>
        <n v="176"/>
        <n v="581"/>
        <n v="319"/>
        <n v="539"/>
        <n v="454"/>
        <n v="1512"/>
        <n v="1074"/>
        <n v="131"/>
        <n v="1576"/>
        <n v="984"/>
        <n v="1598"/>
        <n v="237"/>
        <n v="1530"/>
        <n v="1364"/>
        <n v="3291"/>
        <n v="2898"/>
        <n v="1987"/>
        <n v="341"/>
        <n v="1503"/>
        <n v="28"/>
        <n v="576"/>
        <n v="1841"/>
        <n v="906"/>
        <n v="1280"/>
        <n v="2537"/>
        <n v="497"/>
        <n v="1048"/>
        <n v="1502"/>
        <n v="230"/>
        <n v="1484"/>
        <n v="3277"/>
        <n v="291"/>
        <n v="137"/>
        <n v="3332"/>
        <n v="378"/>
        <n v="824"/>
        <n v="504"/>
        <n v="498"/>
        <n v="308"/>
        <n v="567"/>
        <n v="720"/>
        <n v="447"/>
        <n v="1335"/>
        <n v="2265"/>
        <n v="1181"/>
        <n v="1319"/>
        <n v="1183"/>
        <n v="1272"/>
        <n v="775"/>
        <n v="224"/>
        <n v="141"/>
        <n v="674"/>
        <n v="327"/>
        <n v="652"/>
        <n v="77"/>
        <n v="323"/>
        <n v="1106"/>
        <n v="2614"/>
        <n v="239"/>
        <n v="287"/>
        <n v="788"/>
        <n v="34"/>
        <n v="306"/>
        <n v="618"/>
        <n v="1265"/>
        <n v="2009"/>
        <n v="798"/>
        <n v="221"/>
        <n v="473"/>
        <n v="694"/>
        <n v="148"/>
        <n v="1239"/>
        <n v="1334"/>
        <n v="1229"/>
        <n v="928"/>
        <n v="1224"/>
        <n v="663"/>
        <n v="258"/>
        <n v="272"/>
        <n v="2133"/>
        <n v="1587"/>
        <n v="719"/>
        <n v="1567"/>
        <n v="1194"/>
        <n v="161"/>
        <n v="2075"/>
        <n v="760"/>
        <n v="1263"/>
        <n v="94"/>
        <n v="1102"/>
        <n v="2913"/>
        <n v="2233"/>
        <n v="2109"/>
        <n v="1387"/>
        <n v="1049"/>
        <n v="150"/>
        <n v="900"/>
        <n v="1268"/>
        <n v="351"/>
        <n v="1068"/>
        <n v="706"/>
        <n v="1197"/>
        <n v="2148"/>
        <n v="1711"/>
        <n v="1033"/>
        <n v="1471"/>
        <n v="389"/>
        <n v="256"/>
        <n v="226"/>
        <n v="51"/>
        <n v="1032"/>
        <n v="1006"/>
        <n v="1422"/>
        <n v="144"/>
        <n v="3298"/>
        <n v="383"/>
        <n v="671"/>
        <n v="972"/>
        <n v="209"/>
        <n v="943"/>
        <n v="940"/>
        <n v="577"/>
        <n v="1751"/>
        <n v="205"/>
        <n v="355"/>
        <n v="793"/>
        <n v="936"/>
        <n v="2252"/>
        <n v="286"/>
        <n v="1713"/>
        <n v="67"/>
        <n v="1721"/>
        <n v="1356"/>
        <n v="1308"/>
        <n v="2033"/>
        <n v="934"/>
        <n v="260"/>
        <n v="2714"/>
        <n v="1431"/>
        <n v="1301"/>
        <n v="462"/>
        <n v="1628"/>
        <n v="903"/>
        <n v="886"/>
        <n v="178"/>
        <n v="320"/>
        <n v="1047"/>
        <n v="441"/>
        <n v="450"/>
        <n v="136"/>
        <n v="151"/>
        <n v="120"/>
        <n v="1122"/>
        <n v="133"/>
        <n v="413"/>
        <n v="904"/>
        <n v="1036"/>
        <n v="505"/>
        <n v="709"/>
        <n v="261"/>
        <n v="813"/>
        <n v="517"/>
        <n v="538"/>
        <n v="875"/>
        <n v="772"/>
        <n v="1020"/>
        <n v="1296"/>
        <n v="2566"/>
        <n v="726"/>
        <n v="857"/>
        <n v="208"/>
        <n v="184"/>
        <n v="488"/>
        <n v="132"/>
        <n v="1114"/>
        <n v="807"/>
        <n v="843"/>
        <n v="657"/>
        <n v="1538"/>
        <n v="2084"/>
        <n v="2014"/>
        <n v="1174"/>
        <n v="430"/>
        <n v="1004"/>
        <n v="45"/>
        <n v="1657"/>
        <n v="1579"/>
        <n v="241"/>
        <n v="103"/>
        <n v="1707"/>
        <n v="44"/>
        <n v="114"/>
        <n v="1802"/>
        <n v="810"/>
        <n v="932"/>
        <n v="125"/>
        <n v="638"/>
        <n v="2726"/>
        <n v="27"/>
        <n v="681"/>
        <n v="3096"/>
        <n v="915"/>
        <n v="276"/>
        <n v="189"/>
        <n v="508"/>
        <n v="620"/>
        <n v="546"/>
        <n v="895"/>
        <n v="804"/>
        <n v="88"/>
        <n v="1285"/>
        <n v="313"/>
        <n v="617"/>
        <n v="231"/>
        <n v="1019"/>
        <n v="1116"/>
        <n v="865"/>
        <n v="253"/>
        <n v="1304"/>
        <n v="1515"/>
        <n v="1544"/>
        <n v="774"/>
        <n v="703"/>
        <n v="350"/>
        <n v="2799"/>
        <n v="1912"/>
        <n v="3637"/>
        <n v="310"/>
        <n v="728"/>
        <n v="2171"/>
        <n v="980"/>
        <n v="489"/>
        <n v="453"/>
        <n v="369"/>
        <n v="762"/>
        <n v="963"/>
        <n v="670"/>
        <n v="80"/>
        <n v="2156"/>
        <n v="112"/>
        <n v="1075"/>
        <n v="1140"/>
        <n v="753"/>
        <n v="748"/>
        <n v="803"/>
        <n v="872"/>
        <n v="357"/>
        <n v="485"/>
        <n v="589"/>
        <n v="724"/>
        <n v="246"/>
        <n v="1861"/>
        <n v="708"/>
        <n v="279"/>
        <n v="1016"/>
        <n v="53"/>
        <n v="271"/>
        <n v="1001"/>
        <n v="181"/>
        <n v="182"/>
        <n v="360"/>
        <n v="356"/>
        <n v="683"/>
        <n v="2290"/>
        <n v="532"/>
        <n v="2028"/>
        <n v="317"/>
        <n v="2721"/>
        <n v="667"/>
        <n v="519"/>
        <n v="1092"/>
        <n v="665"/>
        <n v="727"/>
        <n v="1539"/>
        <n v="514"/>
        <n v="654"/>
        <n v="197"/>
        <n v="311"/>
        <n v="124"/>
        <n v="1042"/>
        <n v="653"/>
        <n v="690"/>
        <n v="1257"/>
        <n v="1362"/>
        <n v="382"/>
        <n v="695"/>
        <n v="1359"/>
        <n v="1546"/>
        <n v="1569"/>
        <n v="312"/>
        <n v="423"/>
        <n v="1082"/>
        <n v="1040"/>
        <n v="406"/>
        <n v="90"/>
        <n v="649"/>
        <n v="640"/>
        <n v="234"/>
        <n v="391"/>
        <n v="639"/>
        <n v="909"/>
        <n v="1133"/>
        <n v="2221"/>
        <n v="1017"/>
        <n v="212"/>
        <n v="201"/>
        <n v="1853"/>
        <n v="496"/>
        <n v="158"/>
        <n v="2518"/>
        <n v="2932"/>
        <n v="278"/>
        <n v="599"/>
        <n v="1097"/>
        <n v="1188"/>
        <n v="1429"/>
        <n v="1315"/>
        <n v="633"/>
        <n v="471"/>
        <n v="612"/>
        <n v="342"/>
        <n v="687"/>
        <n v="518"/>
        <n v="778"/>
        <n v="468"/>
        <n v="285"/>
        <n v="55"/>
        <n v="585"/>
        <n v="601"/>
        <n v="116"/>
        <n v="1314"/>
        <n v="584"/>
        <n v="536"/>
        <n v="884"/>
        <n v="823"/>
        <n v="98"/>
        <n v="835"/>
        <n v="558"/>
        <n v="501"/>
        <n v="1672"/>
        <n v="754"/>
        <n v="3295"/>
        <n v="493"/>
        <n v="307"/>
        <n v="495"/>
        <n v="396"/>
        <n v="333"/>
        <n v="628"/>
        <n v="483"/>
        <n v="1027"/>
        <n v="953"/>
        <n v="128"/>
        <n v="1433"/>
        <n v="431"/>
        <n v="941"/>
        <n v="213"/>
        <n v="500"/>
        <n v="1236"/>
        <n v="238"/>
        <n v="919"/>
        <n v="472"/>
        <n v="2155"/>
        <n v="982"/>
        <n v="669"/>
        <n v="688"/>
        <n v="459"/>
        <n v="1812"/>
        <n v="152"/>
        <n v="449"/>
        <n v="377"/>
        <n v="1494"/>
        <n v="442"/>
        <n v="427"/>
        <n v="1282"/>
        <n v="325"/>
        <n v="782"/>
        <n v="405"/>
        <n v="463"/>
        <n v="800"/>
        <n v="303"/>
        <n v="594"/>
        <n v="1206"/>
        <n v="268"/>
        <n v="424"/>
        <n v="1055"/>
        <n v="776"/>
        <n v="156"/>
        <n v="1794"/>
        <n v="650"/>
        <n v="2852"/>
        <n v="966"/>
        <n v="467"/>
        <n v="421"/>
        <n v="414"/>
        <n v="1756"/>
        <n v="288"/>
        <n v="3572"/>
        <n v="407"/>
        <n v="1192"/>
        <n v="659"/>
        <n v="345"/>
        <n v="135"/>
        <n v="1684"/>
        <n v="513"/>
        <n v="1728"/>
        <n v="822"/>
        <n v="507"/>
        <n v="2134"/>
        <n v="768"/>
        <n v="1961"/>
        <n v="225"/>
        <n v="561"/>
        <n v="61"/>
        <n v="399"/>
        <n v="480"/>
        <n v="200"/>
        <n v="1568"/>
        <n v="370"/>
        <n v="1610"/>
        <n v="186"/>
        <n v="1411"/>
        <n v="394"/>
        <n v="573"/>
        <n v="2132"/>
        <n v="334"/>
        <n v="244"/>
        <n v="1200"/>
        <n v="282"/>
        <n v="417"/>
        <n v="1485"/>
        <n v="380"/>
        <n v="188"/>
        <n v="445"/>
        <n v="773"/>
        <n v="1457"/>
        <n v="758"/>
        <n v="879"/>
        <n v="1524"/>
        <n v="366"/>
        <n v="2536"/>
        <n v="362"/>
        <n v="1678"/>
        <n v="1477"/>
        <n v="1332"/>
        <n v="375"/>
        <n v="219"/>
        <n v="771"/>
        <n v="1406"/>
        <n v="783"/>
        <n v="338"/>
        <n v="314"/>
        <n v="521"/>
        <n v="2412"/>
        <n v="866"/>
        <n v="248"/>
        <n v="1026"/>
        <n v="1354"/>
        <n v="987"/>
        <n v="700"/>
        <n v="302"/>
        <n v="292"/>
        <n v="289"/>
        <n v="1090"/>
        <n v="2198"/>
        <n v="2780"/>
        <n v="547"/>
        <n v="1167"/>
        <n v="1690"/>
        <n v="1232"/>
        <n v="2384"/>
        <n v="2595"/>
        <n v="1320"/>
        <n v="1022"/>
        <n v="86"/>
        <n v="1346"/>
        <n v="899"/>
        <n v="876"/>
        <n v="50"/>
        <n v="1147"/>
        <n v="1649"/>
        <n v="255"/>
        <n v="1391"/>
        <n v="634"/>
        <n v="38"/>
        <n v="2422"/>
        <n v="259"/>
        <n v="3399"/>
        <n v="1025"/>
        <n v="1767"/>
        <n v="415"/>
        <n v="951"/>
        <n v="419"/>
        <n v="81"/>
        <n v="552"/>
        <n v="1172"/>
        <n v="220"/>
        <n v="294"/>
        <n v="204"/>
        <n v="844"/>
        <n v="198"/>
        <n v="1425"/>
        <n v="1389"/>
        <n v="195"/>
        <n v="1220"/>
        <n v="1271"/>
        <n v="349"/>
        <n v="1341"/>
        <n v="780"/>
        <n v="2151"/>
        <n v="191"/>
        <n v="185"/>
        <n v="179"/>
        <n v="1601"/>
        <n v="3120"/>
        <n v="1472"/>
        <n v="93"/>
        <n v="245"/>
        <n v="603"/>
        <n v="297"/>
        <n v="1793"/>
        <n v="1520"/>
        <n v="425"/>
        <n v="731"/>
        <n v="2104"/>
        <n v="1903"/>
        <n v="530"/>
        <n v="954"/>
        <n v="1558"/>
        <n v="682"/>
        <n v="115"/>
        <n v="1266"/>
        <n v="1820"/>
        <n v="881"/>
        <n v="1428"/>
        <n v="91"/>
        <n v="167"/>
        <n v="1426"/>
        <n v="938"/>
        <n v="2096"/>
        <n v="1386"/>
        <n v="84"/>
        <n v="759"/>
        <n v="2080"/>
        <n v="1267"/>
        <n v="549"/>
        <n v="685"/>
        <n v="328"/>
        <n v="1015"/>
        <n v="692"/>
        <n v="420"/>
        <n v="977"/>
        <n v="845"/>
        <n v="641"/>
        <n v="705"/>
        <n v="588"/>
        <n v="398"/>
        <n v="1774"/>
        <n v="1340"/>
        <n v="21"/>
        <n v="145"/>
        <n v="1836"/>
        <n v="1752"/>
        <n v="1250"/>
        <n v="1061"/>
        <n v="129"/>
        <n v="123"/>
        <n v="2652"/>
        <n v="75"/>
        <n v="1834"/>
        <n v="1574"/>
        <n v="1607"/>
        <n v="122"/>
        <n v="2046"/>
        <n v="1348"/>
        <n v="117"/>
        <n v="1093"/>
        <n v="849"/>
        <n v="154"/>
        <n v="105"/>
        <n v="600"/>
        <n v="434"/>
        <n v="97"/>
        <n v="247"/>
        <n v="1450"/>
        <n v="613"/>
        <n v="336"/>
        <n v="82"/>
        <n v="1358"/>
        <n v="1926"/>
        <n v="2454"/>
        <n v="1273"/>
        <n v="2400"/>
        <n v="1375"/>
        <n v="2745"/>
        <n v="880"/>
        <n v="1087"/>
        <n v="416"/>
        <n v="785"/>
        <n v="69"/>
        <n v="64"/>
        <n v="2044"/>
        <n v="3061"/>
        <n v="1178"/>
        <n v="273"/>
        <n v="2697"/>
        <n v="1668"/>
        <n v="1685"/>
        <n v="2183"/>
        <n v="747"/>
        <n v="127"/>
        <n v="222"/>
        <n v="666"/>
        <n v="2527"/>
        <n v="662"/>
        <n v="59"/>
        <n v="734"/>
        <n v="3064"/>
        <n v="3143"/>
        <n v="48"/>
        <n v="36"/>
        <n v="216"/>
        <n v="1408"/>
        <n v="712"/>
        <n v="26"/>
        <m/>
      </sharedItems>
    </cacheField>
    <cacheField name="Payment_Method" numFmtId="0">
      <sharedItems containsBlank="1" count="6">
        <s v="Card"/>
        <s v="Bank Transfer"/>
        <s v="Apple Pay"/>
        <s v="Google Pay"/>
        <s v="Cash"/>
        <m/>
      </sharedItems>
    </cacheField>
    <cacheField name="Customer_Type" numFmtId="0">
      <sharedItems containsBlank="1"/>
    </cacheField>
    <cacheField name="Profit_Status" numFmtId="0">
      <sharedItems/>
    </cacheField>
    <cacheField name="Month" numFmtId="0">
      <sharedItems count="6">
        <s v="Feb"/>
        <s v="May"/>
        <s v="Mar"/>
        <s v="Jan"/>
        <s v="Apr"/>
        <s v="Jun"/>
      </sharedItems>
    </cacheField>
  </cacheFields>
  <extLst>
    <ext xmlns:x14="http://schemas.microsoft.com/office/spreadsheetml/2009/9/main" uri="{725AE2AE-9491-48be-B2B4-4EB974FC3084}">
      <x14:pivotCacheDefinition pivotCacheId="22110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001"/>
    <s v="28-02-2025"/>
    <x v="0"/>
    <x v="0"/>
    <x v="0"/>
    <s v="Electronics"/>
    <n v="2"/>
    <n v="354"/>
    <x v="0"/>
    <n v="446"/>
    <x v="0"/>
    <x v="0"/>
    <s v="New"/>
    <s v="High Profit"/>
    <x v="0"/>
  </r>
  <r>
    <n v="1002"/>
    <s v="23-05-2025"/>
    <x v="1"/>
    <x v="0"/>
    <x v="1"/>
    <s v="Accessories"/>
    <n v="3"/>
    <n v="345"/>
    <x v="1"/>
    <n v="714"/>
    <x v="1"/>
    <x v="1"/>
    <s v="New"/>
    <s v="High Profit"/>
    <x v="1"/>
  </r>
  <r>
    <n v="1003"/>
    <s v="12-02-2025"/>
    <x v="0"/>
    <x v="1"/>
    <x v="2"/>
    <s v="Electronics"/>
    <n v="2"/>
    <n v="315"/>
    <x v="2"/>
    <n v="466"/>
    <x v="2"/>
    <x v="2"/>
    <s v="Returning"/>
    <s v="Low Profit"/>
    <x v="0"/>
  </r>
  <r>
    <n v="1004"/>
    <s v="01-02-2025"/>
    <x v="2"/>
    <x v="2"/>
    <x v="0"/>
    <s v="Electronics"/>
    <n v="7"/>
    <n v="669"/>
    <x v="3"/>
    <n v="3371"/>
    <x v="3"/>
    <x v="3"/>
    <s v="Returning"/>
    <s v="High Profit"/>
    <x v="0"/>
  </r>
  <r>
    <n v="1005"/>
    <s v="23-03-2025"/>
    <x v="0"/>
    <x v="3"/>
    <x v="1"/>
    <s v="Accessories"/>
    <n v="5"/>
    <n v="447"/>
    <x v="4"/>
    <n v="1765"/>
    <x v="4"/>
    <x v="2"/>
    <s v="New"/>
    <s v="High Profit"/>
    <x v="2"/>
  </r>
  <r>
    <n v="1006"/>
    <s v="03-05-2025"/>
    <x v="2"/>
    <x v="3"/>
    <x v="2"/>
    <s v="Electronics"/>
    <n v="7"/>
    <n v="275"/>
    <x v="5"/>
    <n v="1289"/>
    <x v="5"/>
    <x v="3"/>
    <s v="New"/>
    <s v="High Profit"/>
    <x v="1"/>
  </r>
  <r>
    <n v="1007"/>
    <s v="09-01-2025"/>
    <x v="1"/>
    <x v="3"/>
    <x v="0"/>
    <s v="Electronics"/>
    <n v="4"/>
    <n v="765"/>
    <x v="6"/>
    <n v="2142"/>
    <x v="6"/>
    <x v="4"/>
    <s v="New"/>
    <s v="High Profit"/>
    <x v="3"/>
  </r>
  <r>
    <n v="1289"/>
    <s v="04-04-2025"/>
    <x v="3"/>
    <x v="2"/>
    <x v="3"/>
    <s v="Electronics"/>
    <n v="10"/>
    <n v="975"/>
    <x v="7"/>
    <n v="6142"/>
    <x v="7"/>
    <x v="2"/>
    <s v="New"/>
    <s v="High Profit"/>
    <x v="4"/>
  </r>
  <r>
    <n v="1009"/>
    <s v="11-04-2025"/>
    <x v="2"/>
    <x v="0"/>
    <x v="0"/>
    <s v="Electronics"/>
    <n v="10"/>
    <n v="551"/>
    <x v="8"/>
    <n v="3857"/>
    <x v="8"/>
    <x v="2"/>
    <s v="New"/>
    <s v="High Profit"/>
    <x v="4"/>
  </r>
  <r>
    <n v="1058"/>
    <s v="13-06-2025"/>
    <x v="3"/>
    <x v="3"/>
    <x v="2"/>
    <s v="Electronics"/>
    <n v="10"/>
    <n v="983"/>
    <x v="9"/>
    <n v="6487"/>
    <x v="9"/>
    <x v="0"/>
    <s v="New"/>
    <s v="High Profit"/>
    <x v="5"/>
  </r>
  <r>
    <n v="1011"/>
    <s v="13-01-2025"/>
    <x v="2"/>
    <x v="1"/>
    <x v="1"/>
    <s v="Accessories"/>
    <n v="7"/>
    <n v="759"/>
    <x v="10"/>
    <n v="3931"/>
    <x v="10"/>
    <x v="2"/>
    <s v="Returning"/>
    <s v="High Profit"/>
    <x v="3"/>
  </r>
  <r>
    <n v="1056"/>
    <s v="20-06-2025"/>
    <x v="3"/>
    <x v="0"/>
    <x v="4"/>
    <s v="Electronics"/>
    <n v="9"/>
    <n v="961"/>
    <x v="11"/>
    <n v="5448"/>
    <x v="11"/>
    <x v="2"/>
    <s v="Returning"/>
    <s v="High Profit"/>
    <x v="5"/>
  </r>
  <r>
    <n v="1013"/>
    <s v="15-03-2025"/>
    <x v="2"/>
    <x v="3"/>
    <x v="1"/>
    <s v="Accessories"/>
    <n v="4"/>
    <n v="678"/>
    <x v="12"/>
    <n v="2088"/>
    <x v="12"/>
    <x v="3"/>
    <s v="Returning"/>
    <s v="High Profit"/>
    <x v="2"/>
  </r>
  <r>
    <n v="1014"/>
    <s v="15-03-2025"/>
    <x v="2"/>
    <x v="2"/>
    <x v="3"/>
    <s v="Electronics"/>
    <n v="8"/>
    <n v="161"/>
    <x v="13"/>
    <n v="862"/>
    <x v="13"/>
    <x v="1"/>
    <s v="New"/>
    <s v="High Profit"/>
    <x v="2"/>
  </r>
  <r>
    <n v="1015"/>
    <s v="10-05-2025"/>
    <x v="0"/>
    <x v="3"/>
    <x v="5"/>
    <s v="Accessories"/>
    <n v="4"/>
    <n v="313"/>
    <x v="14"/>
    <n v="989"/>
    <x v="14"/>
    <x v="0"/>
    <s v="New"/>
    <s v="High Profit"/>
    <x v="1"/>
  </r>
  <r>
    <n v="1016"/>
    <s v="21-01-2025"/>
    <x v="2"/>
    <x v="0"/>
    <x v="5"/>
    <s v="Accessories"/>
    <n v="3"/>
    <n v="242"/>
    <x v="15"/>
    <n v="486"/>
    <x v="15"/>
    <x v="4"/>
    <s v="Returning"/>
    <s v="High Profit"/>
    <x v="3"/>
  </r>
  <r>
    <n v="1192"/>
    <s v="22-03-2025"/>
    <x v="3"/>
    <x v="3"/>
    <x v="3"/>
    <s v="Electronics"/>
    <n v="9"/>
    <n v="875"/>
    <x v="16"/>
    <n v="4882"/>
    <x v="16"/>
    <x v="0"/>
    <s v="Returning"/>
    <s v="High Profit"/>
    <x v="2"/>
  </r>
  <r>
    <n v="1018"/>
    <s v="01-02-2025"/>
    <x v="1"/>
    <x v="2"/>
    <x v="1"/>
    <s v="Accessories"/>
    <n v="5"/>
    <n v="300"/>
    <x v="17"/>
    <n v="1185"/>
    <x v="17"/>
    <x v="2"/>
    <s v="Returning"/>
    <s v="High Profit"/>
    <x v="0"/>
  </r>
  <r>
    <n v="1019"/>
    <s v="13-05-2025"/>
    <x v="1"/>
    <x v="1"/>
    <x v="3"/>
    <s v="Electronics"/>
    <n v="4"/>
    <n v="829"/>
    <x v="18"/>
    <n v="2586"/>
    <x v="18"/>
    <x v="4"/>
    <s v="Returning"/>
    <s v="High Profit"/>
    <x v="1"/>
  </r>
  <r>
    <n v="1020"/>
    <s v="13-03-2025"/>
    <x v="0"/>
    <x v="3"/>
    <x v="2"/>
    <s v="Electronics"/>
    <n v="3"/>
    <n v="495"/>
    <x v="19"/>
    <n v="1098"/>
    <x v="19"/>
    <x v="1"/>
    <s v="New"/>
    <s v="High Profit"/>
    <x v="2"/>
  </r>
  <r>
    <n v="1244"/>
    <s v="10-05-2025"/>
    <x v="3"/>
    <x v="3"/>
    <x v="4"/>
    <s v="Electronics"/>
    <n v="9"/>
    <n v="831"/>
    <x v="20"/>
    <n v="4562"/>
    <x v="20"/>
    <x v="1"/>
    <s v="Returning"/>
    <s v="High Profit"/>
    <x v="1"/>
  </r>
  <r>
    <n v="1813"/>
    <s v="03-03-2025"/>
    <x v="3"/>
    <x v="2"/>
    <x v="0"/>
    <s v="Electronics"/>
    <n v="10"/>
    <n v="732"/>
    <x v="21"/>
    <n v="4538"/>
    <x v="21"/>
    <x v="1"/>
    <s v="Returning"/>
    <s v="High Profit"/>
    <x v="2"/>
  </r>
  <r>
    <n v="1023"/>
    <s v="20-01-2025"/>
    <x v="1"/>
    <x v="1"/>
    <x v="3"/>
    <s v="Electronics"/>
    <n v="4"/>
    <n v="330"/>
    <x v="22"/>
    <n v="910"/>
    <x v="22"/>
    <x v="0"/>
    <s v="Returning"/>
    <s v="High Profit"/>
    <x v="3"/>
  </r>
  <r>
    <n v="1024"/>
    <s v="26-04-2025"/>
    <x v="2"/>
    <x v="0"/>
    <x v="4"/>
    <s v="Electronics"/>
    <n v="9"/>
    <n v="986"/>
    <x v="23"/>
    <n v="5768"/>
    <x v="23"/>
    <x v="2"/>
    <s v="Returning"/>
    <s v="High Profit"/>
    <x v="4"/>
  </r>
  <r>
    <n v="1025"/>
    <s v="18-02-2025"/>
    <x v="1"/>
    <x v="0"/>
    <x v="4"/>
    <s v="Electronics"/>
    <n v="9"/>
    <n v="783"/>
    <x v="24"/>
    <n v="4580"/>
    <x v="24"/>
    <x v="4"/>
    <s v="Returning"/>
    <s v="High Profit"/>
    <x v="0"/>
  </r>
  <r>
    <n v="1613"/>
    <s v="24-04-2025"/>
    <x v="3"/>
    <x v="2"/>
    <x v="2"/>
    <s v="Electronics"/>
    <n v="9"/>
    <n v="746"/>
    <x v="25"/>
    <n v="4028"/>
    <x v="25"/>
    <x v="4"/>
    <s v="Returning"/>
    <s v="High Profit"/>
    <x v="4"/>
  </r>
  <r>
    <n v="1027"/>
    <s v="04-06-2025"/>
    <x v="3"/>
    <x v="3"/>
    <x v="5"/>
    <s v="Accessories"/>
    <n v="8"/>
    <n v="377"/>
    <x v="26"/>
    <n v="1960"/>
    <x v="26"/>
    <x v="1"/>
    <s v="New"/>
    <s v="High Profit"/>
    <x v="5"/>
  </r>
  <r>
    <n v="1028"/>
    <s v="17-01-2025"/>
    <x v="0"/>
    <x v="0"/>
    <x v="0"/>
    <s v="Electronics"/>
    <n v="10"/>
    <n v="786"/>
    <x v="27"/>
    <n v="6130"/>
    <x v="27"/>
    <x v="3"/>
    <s v="New"/>
    <s v="High Profit"/>
    <x v="3"/>
  </r>
  <r>
    <n v="1029"/>
    <s v="22-06-2025"/>
    <x v="1"/>
    <x v="3"/>
    <x v="3"/>
    <s v="Electronics"/>
    <n v="6"/>
    <n v="235"/>
    <x v="28"/>
    <n v="958"/>
    <x v="28"/>
    <x v="4"/>
    <s v="Returning"/>
    <s v="High Profit"/>
    <x v="5"/>
  </r>
  <r>
    <n v="1030"/>
    <s v="11-05-2025"/>
    <x v="1"/>
    <x v="0"/>
    <x v="2"/>
    <s v="Electronics"/>
    <n v="6"/>
    <n v="336"/>
    <x v="29"/>
    <n v="1471"/>
    <x v="29"/>
    <x v="0"/>
    <s v="Returning"/>
    <s v="High Profit"/>
    <x v="1"/>
  </r>
  <r>
    <n v="1031"/>
    <s v="07-02-2025"/>
    <x v="0"/>
    <x v="2"/>
    <x v="4"/>
    <s v="Electronics"/>
    <n v="5"/>
    <n v="908"/>
    <x v="30"/>
    <n v="3314"/>
    <x v="30"/>
    <x v="1"/>
    <s v="New"/>
    <s v="High Profit"/>
    <x v="0"/>
  </r>
  <r>
    <n v="1032"/>
    <s v="01-01-2025"/>
    <x v="0"/>
    <x v="3"/>
    <x v="3"/>
    <s v="Electronics"/>
    <n v="8"/>
    <n v="834"/>
    <x v="31"/>
    <n v="4670"/>
    <x v="31"/>
    <x v="2"/>
    <s v="New"/>
    <s v="High Profit"/>
    <x v="3"/>
  </r>
  <r>
    <n v="1033"/>
    <s v="08-01-2025"/>
    <x v="1"/>
    <x v="2"/>
    <x v="1"/>
    <s v="Accessories"/>
    <n v="5"/>
    <n v="105"/>
    <x v="32"/>
    <n v="383"/>
    <x v="32"/>
    <x v="0"/>
    <s v="Returning"/>
    <s v="Low Profit"/>
    <x v="3"/>
  </r>
  <r>
    <n v="1914"/>
    <s v="17-02-2025"/>
    <x v="3"/>
    <x v="0"/>
    <x v="4"/>
    <s v="Electronics"/>
    <n v="8"/>
    <n v="968"/>
    <x v="33"/>
    <n v="5343"/>
    <x v="33"/>
    <x v="4"/>
    <s v="Returning"/>
    <s v="High Profit"/>
    <x v="0"/>
  </r>
  <r>
    <n v="1035"/>
    <s v="08-04-2025"/>
    <x v="3"/>
    <x v="2"/>
    <x v="5"/>
    <s v="Accessories"/>
    <n v="7"/>
    <n v="908"/>
    <x v="34"/>
    <n v="4322"/>
    <x v="34"/>
    <x v="4"/>
    <s v="New"/>
    <s v="High Profit"/>
    <x v="4"/>
  </r>
  <r>
    <n v="1036"/>
    <s v="30-03-2025"/>
    <x v="0"/>
    <x v="1"/>
    <x v="3"/>
    <s v="Electronics"/>
    <n v="7"/>
    <n v="144"/>
    <x v="35"/>
    <n v="665"/>
    <x v="35"/>
    <x v="2"/>
    <s v="Returning"/>
    <s v="High Profit"/>
    <x v="2"/>
  </r>
  <r>
    <n v="1999"/>
    <s v="11-02-2025"/>
    <x v="3"/>
    <x v="3"/>
    <x v="2"/>
    <s v="Electronics"/>
    <n v="7"/>
    <n v="945"/>
    <x v="36"/>
    <n v="4365"/>
    <x v="36"/>
    <x v="1"/>
    <s v="Returning"/>
    <s v="High Profit"/>
    <x v="0"/>
  </r>
  <r>
    <n v="1038"/>
    <s v="24-05-2025"/>
    <x v="1"/>
    <x v="3"/>
    <x v="4"/>
    <s v="Electronics"/>
    <n v="6"/>
    <n v="239"/>
    <x v="37"/>
    <n v="874"/>
    <x v="37"/>
    <x v="1"/>
    <s v="New"/>
    <s v="High Profit"/>
    <x v="1"/>
  </r>
  <r>
    <n v="1039"/>
    <s v="01-03-2025"/>
    <x v="1"/>
    <x v="1"/>
    <x v="4"/>
    <s v="Electronics"/>
    <n v="3"/>
    <n v="280"/>
    <x v="38"/>
    <n v="571"/>
    <x v="38"/>
    <x v="2"/>
    <s v="Returning"/>
    <s v="High Profit"/>
    <x v="2"/>
  </r>
  <r>
    <n v="1040"/>
    <s v="04-06-2025"/>
    <x v="1"/>
    <x v="2"/>
    <x v="0"/>
    <s v="Electronics"/>
    <n v="5"/>
    <n v="259"/>
    <x v="39"/>
    <n v="867"/>
    <x v="39"/>
    <x v="2"/>
    <s v="Returning"/>
    <s v="High Profit"/>
    <x v="5"/>
  </r>
  <r>
    <n v="1041"/>
    <s v="28-04-2025"/>
    <x v="3"/>
    <x v="2"/>
    <x v="1"/>
    <s v="Accessories"/>
    <n v="5"/>
    <n v="837"/>
    <x v="40"/>
    <n v="2636"/>
    <x v="40"/>
    <x v="1"/>
    <s v="Returning"/>
    <s v="High Profit"/>
    <x v="4"/>
  </r>
  <r>
    <n v="1042"/>
    <s v="02-03-2025"/>
    <x v="2"/>
    <x v="2"/>
    <x v="2"/>
    <s v="Electronics"/>
    <n v="3"/>
    <n v="545"/>
    <x v="41"/>
    <n v="1079"/>
    <x v="41"/>
    <x v="1"/>
    <s v="Returning"/>
    <s v="High Profit"/>
    <x v="2"/>
  </r>
  <r>
    <n v="1043"/>
    <s v="16-06-2025"/>
    <x v="1"/>
    <x v="0"/>
    <x v="0"/>
    <s v="Electronics"/>
    <n v="4"/>
    <n v="543"/>
    <x v="42"/>
    <n v="1563"/>
    <x v="42"/>
    <x v="3"/>
    <s v="Returning"/>
    <s v="High Profit"/>
    <x v="5"/>
  </r>
  <r>
    <n v="1044"/>
    <s v="28-04-2025"/>
    <x v="2"/>
    <x v="3"/>
    <x v="5"/>
    <s v="Accessories"/>
    <n v="7"/>
    <n v="628"/>
    <x v="43"/>
    <n v="3428"/>
    <x v="43"/>
    <x v="0"/>
    <s v="Returning"/>
    <s v="High Profit"/>
    <x v="4"/>
  </r>
  <r>
    <n v="1119"/>
    <s v="25-06-2025"/>
    <x v="3"/>
    <x v="0"/>
    <x v="0"/>
    <s v="Electronics"/>
    <n v="10"/>
    <n v="678"/>
    <x v="44"/>
    <n v="4542"/>
    <x v="44"/>
    <x v="3"/>
    <s v="New"/>
    <s v="High Profit"/>
    <x v="5"/>
  </r>
  <r>
    <n v="1046"/>
    <s v="27-06-2025"/>
    <x v="0"/>
    <x v="1"/>
    <x v="5"/>
    <s v="Accessories"/>
    <n v="5"/>
    <n v="293"/>
    <x v="45"/>
    <n v="1025"/>
    <x v="45"/>
    <x v="3"/>
    <s v="New"/>
    <s v="High Profit"/>
    <x v="5"/>
  </r>
  <r>
    <n v="1047"/>
    <s v="26-06-2025"/>
    <x v="0"/>
    <x v="1"/>
    <x v="3"/>
    <s v="Electronics"/>
    <n v="6"/>
    <n v="553"/>
    <x v="46"/>
    <n v="2023"/>
    <x v="46"/>
    <x v="3"/>
    <s v="Returning"/>
    <s v="High Profit"/>
    <x v="5"/>
  </r>
  <r>
    <n v="1048"/>
    <s v="07-05-2025"/>
    <x v="2"/>
    <x v="1"/>
    <x v="5"/>
    <s v="Accessories"/>
    <n v="8"/>
    <n v="386"/>
    <x v="47"/>
    <n v="2192"/>
    <x v="47"/>
    <x v="3"/>
    <s v="Returning"/>
    <s v="High Profit"/>
    <x v="1"/>
  </r>
  <r>
    <n v="1049"/>
    <s v="23-03-2025"/>
    <x v="2"/>
    <x v="3"/>
    <x v="0"/>
    <s v="Electronics"/>
    <n v="1"/>
    <n v="187"/>
    <x v="48"/>
    <n v="147"/>
    <x v="48"/>
    <x v="2"/>
    <s v="Returning"/>
    <s v="Low Profit"/>
    <x v="2"/>
  </r>
  <r>
    <n v="1017"/>
    <s v="28-06-2025"/>
    <x v="3"/>
    <x v="1"/>
    <x v="3"/>
    <s v="Electronics"/>
    <n v="9"/>
    <n v="641"/>
    <x v="49"/>
    <n v="3576"/>
    <x v="49"/>
    <x v="0"/>
    <s v="New"/>
    <s v="High Profit"/>
    <x v="5"/>
  </r>
  <r>
    <n v="1051"/>
    <s v="25-05-2025"/>
    <x v="2"/>
    <x v="1"/>
    <x v="5"/>
    <s v="Accessories"/>
    <n v="4"/>
    <n v="849"/>
    <x v="50"/>
    <n v="2207"/>
    <x v="50"/>
    <x v="1"/>
    <s v="New"/>
    <s v="High Profit"/>
    <x v="1"/>
  </r>
  <r>
    <n v="1052"/>
    <s v="13-05-2025"/>
    <x v="2"/>
    <x v="0"/>
    <x v="5"/>
    <s v="Accessories"/>
    <n v="9"/>
    <n v="729"/>
    <x v="51"/>
    <n v="4330"/>
    <x v="51"/>
    <x v="4"/>
    <s v="New"/>
    <s v="High Profit"/>
    <x v="1"/>
  </r>
  <r>
    <n v="1053"/>
    <s v="17-04-2025"/>
    <x v="3"/>
    <x v="1"/>
    <x v="5"/>
    <s v="Accessories"/>
    <n v="2"/>
    <n v="510"/>
    <x v="52"/>
    <n v="754"/>
    <x v="52"/>
    <x v="3"/>
    <s v="Returning"/>
    <s v="High Profit"/>
    <x v="4"/>
  </r>
  <r>
    <n v="1054"/>
    <s v="22-04-2025"/>
    <x v="2"/>
    <x v="0"/>
    <x v="1"/>
    <s v="Accessories"/>
    <n v="9"/>
    <n v="986"/>
    <x v="23"/>
    <n v="5324"/>
    <x v="53"/>
    <x v="2"/>
    <s v="Returning"/>
    <s v="High Profit"/>
    <x v="4"/>
  </r>
  <r>
    <n v="1055"/>
    <s v="05-01-2025"/>
    <x v="1"/>
    <x v="3"/>
    <x v="2"/>
    <s v="Electronics"/>
    <n v="1"/>
    <n v="620"/>
    <x v="53"/>
    <n v="465"/>
    <x v="54"/>
    <x v="1"/>
    <s v="New"/>
    <s v="Low Profit"/>
    <x v="3"/>
  </r>
  <r>
    <n v="1034"/>
    <s v="09-05-2025"/>
    <x v="3"/>
    <x v="3"/>
    <x v="4"/>
    <s v="Electronics"/>
    <n v="7"/>
    <n v="920"/>
    <x v="54"/>
    <n v="4314"/>
    <x v="55"/>
    <x v="4"/>
    <s v="New"/>
    <s v="High Profit"/>
    <x v="1"/>
  </r>
  <r>
    <n v="1569"/>
    <s v="17-03-2025"/>
    <x v="3"/>
    <x v="2"/>
    <x v="2"/>
    <s v="Electronics"/>
    <n v="8"/>
    <n v="776"/>
    <x v="55"/>
    <n v="4097"/>
    <x v="56"/>
    <x v="1"/>
    <s v="New"/>
    <s v="High Profit"/>
    <x v="2"/>
  </r>
  <r>
    <n v="1750"/>
    <s v="14-06-2025"/>
    <x v="3"/>
    <x v="0"/>
    <x v="0"/>
    <s v="Electronics"/>
    <n v="9"/>
    <n v="770"/>
    <x v="56"/>
    <n v="4851"/>
    <x v="57"/>
    <x v="0"/>
    <s v="New"/>
    <s v="High Profit"/>
    <x v="5"/>
  </r>
  <r>
    <n v="1059"/>
    <s v="02-03-2025"/>
    <x v="3"/>
    <x v="0"/>
    <x v="5"/>
    <s v="Accessories"/>
    <n v="1"/>
    <n v="713"/>
    <x v="57"/>
    <n v="449"/>
    <x v="58"/>
    <x v="4"/>
    <s v="Returning"/>
    <s v="High Profit"/>
    <x v="2"/>
  </r>
  <r>
    <n v="1060"/>
    <s v="21-04-2025"/>
    <x v="0"/>
    <x v="1"/>
    <x v="5"/>
    <s v="Accessories"/>
    <n v="10"/>
    <n v="159"/>
    <x v="58"/>
    <n v="1033"/>
    <x v="59"/>
    <x v="0"/>
    <s v="Returning"/>
    <s v="High Profit"/>
    <x v="4"/>
  </r>
  <r>
    <n v="1061"/>
    <s v="05-02-2025"/>
    <x v="1"/>
    <x v="2"/>
    <x v="5"/>
    <s v="Accessories"/>
    <n v="9"/>
    <n v="462"/>
    <x v="59"/>
    <n v="2661"/>
    <x v="60"/>
    <x v="2"/>
    <s v="Returning"/>
    <s v="High Profit"/>
    <x v="0"/>
  </r>
  <r>
    <n v="1062"/>
    <s v="11-02-2025"/>
    <x v="1"/>
    <x v="0"/>
    <x v="5"/>
    <s v="Accessories"/>
    <n v="6"/>
    <n v="257"/>
    <x v="60"/>
    <n v="1233"/>
    <x v="61"/>
    <x v="3"/>
    <s v="New"/>
    <s v="High Profit"/>
    <x v="0"/>
  </r>
  <r>
    <n v="1063"/>
    <s v="10-04-2025"/>
    <x v="1"/>
    <x v="1"/>
    <x v="0"/>
    <s v="Electronics"/>
    <n v="2"/>
    <n v="658"/>
    <x v="61"/>
    <n v="829"/>
    <x v="62"/>
    <x v="2"/>
    <s v="New"/>
    <s v="High Profit"/>
    <x v="4"/>
  </r>
  <r>
    <n v="1064"/>
    <s v="12-01-2025"/>
    <x v="2"/>
    <x v="0"/>
    <x v="4"/>
    <s v="Electronics"/>
    <n v="9"/>
    <n v="737"/>
    <x v="62"/>
    <n v="4311"/>
    <x v="63"/>
    <x v="0"/>
    <s v="Returning"/>
    <s v="High Profit"/>
    <x v="3"/>
  </r>
  <r>
    <n v="1065"/>
    <s v="08-02-2025"/>
    <x v="1"/>
    <x v="3"/>
    <x v="5"/>
    <s v="Accessories"/>
    <n v="8"/>
    <n v="775"/>
    <x v="63"/>
    <n v="4898"/>
    <x v="64"/>
    <x v="3"/>
    <s v="New"/>
    <s v="High Profit"/>
    <x v="0"/>
  </r>
  <r>
    <n v="1066"/>
    <s v="22-02-2025"/>
    <x v="3"/>
    <x v="2"/>
    <x v="1"/>
    <s v="Accessories"/>
    <n v="7"/>
    <n v="863"/>
    <x v="64"/>
    <n v="4047"/>
    <x v="65"/>
    <x v="0"/>
    <s v="New"/>
    <s v="High Profit"/>
    <x v="0"/>
  </r>
  <r>
    <n v="1022"/>
    <s v="07-02-2025"/>
    <x v="3"/>
    <x v="1"/>
    <x v="4"/>
    <s v="Electronics"/>
    <n v="9"/>
    <n v="607"/>
    <x v="65"/>
    <n v="3387"/>
    <x v="66"/>
    <x v="0"/>
    <s v="New"/>
    <s v="High Profit"/>
    <x v="0"/>
  </r>
  <r>
    <n v="1068"/>
    <s v="24-03-2025"/>
    <x v="1"/>
    <x v="3"/>
    <x v="2"/>
    <s v="Electronics"/>
    <n v="9"/>
    <n v="720"/>
    <x v="66"/>
    <n v="4600"/>
    <x v="67"/>
    <x v="4"/>
    <s v="Returning"/>
    <s v="High Profit"/>
    <x v="2"/>
  </r>
  <r>
    <n v="1069"/>
    <s v="14-02-2025"/>
    <x v="0"/>
    <x v="1"/>
    <x v="2"/>
    <s v="Electronics"/>
    <n v="10"/>
    <n v="691"/>
    <x v="67"/>
    <n v="4906"/>
    <x v="68"/>
    <x v="0"/>
    <s v="New"/>
    <s v="High Profit"/>
    <x v="0"/>
  </r>
  <r>
    <n v="1070"/>
    <s v="02-06-2025"/>
    <x v="2"/>
    <x v="2"/>
    <x v="2"/>
    <s v="Electronics"/>
    <n v="6"/>
    <n v="982"/>
    <x v="68"/>
    <n v="4065"/>
    <x v="69"/>
    <x v="4"/>
    <s v="New"/>
    <s v="High Profit"/>
    <x v="5"/>
  </r>
  <r>
    <n v="1071"/>
    <s v="16-04-2025"/>
    <x v="1"/>
    <x v="3"/>
    <x v="1"/>
    <s v="Accessories"/>
    <n v="8"/>
    <n v="843"/>
    <x v="69"/>
    <n v="4990"/>
    <x v="70"/>
    <x v="1"/>
    <s v="New"/>
    <s v="High Profit"/>
    <x v="4"/>
  </r>
  <r>
    <n v="1937"/>
    <s v="03-05-2025"/>
    <x v="3"/>
    <x v="2"/>
    <x v="4"/>
    <s v="Electronics"/>
    <n v="9"/>
    <n v="988"/>
    <x v="70"/>
    <n v="6935"/>
    <x v="71"/>
    <x v="2"/>
    <s v="Returning"/>
    <s v="High Profit"/>
    <x v="1"/>
  </r>
  <r>
    <n v="1073"/>
    <s v="05-06-2025"/>
    <x v="2"/>
    <x v="2"/>
    <x v="1"/>
    <s v="Accessories"/>
    <n v="6"/>
    <n v="232"/>
    <x v="71"/>
    <n v="988"/>
    <x v="72"/>
    <x v="0"/>
    <s v="Returning"/>
    <s v="High Profit"/>
    <x v="5"/>
  </r>
  <r>
    <n v="1074"/>
    <s v="15-03-2025"/>
    <x v="1"/>
    <x v="2"/>
    <x v="4"/>
    <s v="Electronics"/>
    <n v="6"/>
    <n v="691"/>
    <x v="72"/>
    <n v="2860"/>
    <x v="73"/>
    <x v="3"/>
    <s v="New"/>
    <s v="High Profit"/>
    <x v="2"/>
  </r>
  <r>
    <n v="1075"/>
    <s v="22-01-2025"/>
    <x v="1"/>
    <x v="2"/>
    <x v="5"/>
    <s v="Accessories"/>
    <n v="5"/>
    <n v="999"/>
    <x v="73"/>
    <n v="2997"/>
    <x v="74"/>
    <x v="4"/>
    <s v="Returning"/>
    <s v="High Profit"/>
    <x v="3"/>
  </r>
  <r>
    <n v="1076"/>
    <s v="08-02-2025"/>
    <x v="0"/>
    <x v="1"/>
    <x v="5"/>
    <s v="Accessories"/>
    <n v="4"/>
    <n v="446"/>
    <x v="74"/>
    <n v="1302"/>
    <x v="75"/>
    <x v="3"/>
    <s v="Returning"/>
    <s v="High Profit"/>
    <x v="0"/>
  </r>
  <r>
    <n v="1077"/>
    <s v="16-02-2025"/>
    <x v="2"/>
    <x v="3"/>
    <x v="3"/>
    <s v="Electronics"/>
    <n v="7"/>
    <n v="80"/>
    <x v="75"/>
    <n v="442"/>
    <x v="76"/>
    <x v="2"/>
    <s v="Returning"/>
    <s v="Low Profit"/>
    <x v="0"/>
  </r>
  <r>
    <n v="1078"/>
    <s v="31-05-2025"/>
    <x v="2"/>
    <x v="2"/>
    <x v="2"/>
    <s v="Electronics"/>
    <n v="4"/>
    <n v="782"/>
    <x v="76"/>
    <n v="2033"/>
    <x v="77"/>
    <x v="4"/>
    <s v="Returning"/>
    <s v="High Profit"/>
    <x v="1"/>
  </r>
  <r>
    <n v="1079"/>
    <s v="16-04-2025"/>
    <x v="0"/>
    <x v="2"/>
    <x v="5"/>
    <s v="Accessories"/>
    <n v="4"/>
    <n v="92"/>
    <x v="77"/>
    <n v="228"/>
    <x v="78"/>
    <x v="1"/>
    <s v="Returning"/>
    <s v="Low Profit"/>
    <x v="4"/>
  </r>
  <r>
    <n v="1080"/>
    <s v="03-02-2025"/>
    <x v="1"/>
    <x v="3"/>
    <x v="1"/>
    <s v="Accessories"/>
    <n v="2"/>
    <n v="119"/>
    <x v="78"/>
    <n v="176"/>
    <x v="79"/>
    <x v="1"/>
    <s v="New"/>
    <s v="Low Profit"/>
    <x v="0"/>
  </r>
  <r>
    <n v="1081"/>
    <s v="11-04-2025"/>
    <x v="2"/>
    <x v="0"/>
    <x v="3"/>
    <s v="Electronics"/>
    <n v="2"/>
    <n v="458"/>
    <x v="79"/>
    <n v="723"/>
    <x v="80"/>
    <x v="0"/>
    <s v="Returning"/>
    <s v="High Profit"/>
    <x v="4"/>
  </r>
  <r>
    <n v="1082"/>
    <s v="04-01-2025"/>
    <x v="0"/>
    <x v="1"/>
    <x v="1"/>
    <s v="Accessories"/>
    <n v="4"/>
    <n v="571"/>
    <x v="80"/>
    <n v="1416"/>
    <x v="81"/>
    <x v="1"/>
    <s v="New"/>
    <s v="High Profit"/>
    <x v="3"/>
  </r>
  <r>
    <n v="1083"/>
    <s v="09-01-2025"/>
    <x v="1"/>
    <x v="1"/>
    <x v="0"/>
    <s v="Electronics"/>
    <n v="9"/>
    <n v="482"/>
    <x v="81"/>
    <n v="3340"/>
    <x v="82"/>
    <x v="3"/>
    <s v="Returning"/>
    <s v="High Profit"/>
    <x v="3"/>
  </r>
  <r>
    <n v="1084"/>
    <s v="09-06-2025"/>
    <x v="2"/>
    <x v="1"/>
    <x v="4"/>
    <s v="Electronics"/>
    <n v="9"/>
    <n v="61"/>
    <x v="82"/>
    <n v="400"/>
    <x v="83"/>
    <x v="4"/>
    <s v="Returning"/>
    <s v="Low Profit"/>
    <x v="5"/>
  </r>
  <r>
    <n v="1085"/>
    <s v="27-05-2025"/>
    <x v="0"/>
    <x v="0"/>
    <x v="5"/>
    <s v="Accessories"/>
    <n v="5"/>
    <n v="473"/>
    <x v="83"/>
    <n v="1560"/>
    <x v="84"/>
    <x v="2"/>
    <s v="New"/>
    <s v="High Profit"/>
    <x v="1"/>
  </r>
  <r>
    <n v="1086"/>
    <s v="25-04-2025"/>
    <x v="0"/>
    <x v="0"/>
    <x v="2"/>
    <s v="Electronics"/>
    <n v="7"/>
    <n v="870"/>
    <x v="84"/>
    <n v="4689"/>
    <x v="85"/>
    <x v="3"/>
    <s v="New"/>
    <s v="High Profit"/>
    <x v="4"/>
  </r>
  <r>
    <n v="1438"/>
    <s v="07-04-2025"/>
    <x v="3"/>
    <x v="1"/>
    <x v="3"/>
    <s v="Electronics"/>
    <n v="9"/>
    <n v="578"/>
    <x v="85"/>
    <n v="3277"/>
    <x v="86"/>
    <x v="2"/>
    <s v="New"/>
    <s v="High Profit"/>
    <x v="4"/>
  </r>
  <r>
    <n v="1088"/>
    <s v="09-05-2025"/>
    <x v="1"/>
    <x v="2"/>
    <x v="3"/>
    <s v="Electronics"/>
    <n v="4"/>
    <n v="956"/>
    <x v="86"/>
    <n v="2485"/>
    <x v="87"/>
    <x v="2"/>
    <s v="New"/>
    <s v="High Profit"/>
    <x v="1"/>
  </r>
  <r>
    <n v="1089"/>
    <s v="24-03-2025"/>
    <x v="0"/>
    <x v="0"/>
    <x v="5"/>
    <s v="Accessories"/>
    <n v="10"/>
    <n v="763"/>
    <x v="87"/>
    <n v="5798"/>
    <x v="88"/>
    <x v="0"/>
    <s v="Returning"/>
    <s v="High Profit"/>
    <x v="2"/>
  </r>
  <r>
    <n v="1090"/>
    <s v="27-04-2025"/>
    <x v="1"/>
    <x v="3"/>
    <x v="1"/>
    <s v="Accessories"/>
    <n v="3"/>
    <n v="476"/>
    <x v="88"/>
    <n v="1085"/>
    <x v="35"/>
    <x v="1"/>
    <s v="New"/>
    <s v="High Profit"/>
    <x v="4"/>
  </r>
  <r>
    <n v="1091"/>
    <s v="20-04-2025"/>
    <x v="1"/>
    <x v="2"/>
    <x v="4"/>
    <s v="Electronics"/>
    <n v="1"/>
    <n v="504"/>
    <x v="89"/>
    <n v="327"/>
    <x v="89"/>
    <x v="2"/>
    <s v="New"/>
    <s v="Low Profit"/>
    <x v="4"/>
  </r>
  <r>
    <n v="1092"/>
    <s v="15-04-2025"/>
    <x v="1"/>
    <x v="3"/>
    <x v="0"/>
    <s v="Electronics"/>
    <n v="10"/>
    <n v="297"/>
    <x v="90"/>
    <n v="1960"/>
    <x v="90"/>
    <x v="2"/>
    <s v="Returning"/>
    <s v="High Profit"/>
    <x v="4"/>
  </r>
  <r>
    <n v="1093"/>
    <s v="08-06-2025"/>
    <x v="2"/>
    <x v="2"/>
    <x v="0"/>
    <s v="Electronics"/>
    <n v="6"/>
    <n v="987"/>
    <x v="91"/>
    <n v="3671"/>
    <x v="91"/>
    <x v="2"/>
    <s v="New"/>
    <s v="High Profit"/>
    <x v="5"/>
  </r>
  <r>
    <n v="1094"/>
    <s v="25-04-2025"/>
    <x v="0"/>
    <x v="2"/>
    <x v="0"/>
    <s v="Electronics"/>
    <n v="3"/>
    <n v="289"/>
    <x v="92"/>
    <n v="520"/>
    <x v="92"/>
    <x v="1"/>
    <s v="New"/>
    <s v="High Profit"/>
    <x v="4"/>
  </r>
  <r>
    <n v="1095"/>
    <s v="20-01-2025"/>
    <x v="1"/>
    <x v="2"/>
    <x v="3"/>
    <s v="Electronics"/>
    <n v="5"/>
    <n v="548"/>
    <x v="93"/>
    <n v="2192"/>
    <x v="93"/>
    <x v="3"/>
    <s v="Returning"/>
    <s v="High Profit"/>
    <x v="3"/>
  </r>
  <r>
    <n v="1096"/>
    <s v="28-04-2025"/>
    <x v="1"/>
    <x v="3"/>
    <x v="2"/>
    <s v="Electronics"/>
    <n v="10"/>
    <n v="877"/>
    <x v="94"/>
    <n v="5875"/>
    <x v="94"/>
    <x v="4"/>
    <s v="Returning"/>
    <s v="High Profit"/>
    <x v="4"/>
  </r>
  <r>
    <n v="1097"/>
    <s v="11-06-2025"/>
    <x v="2"/>
    <x v="1"/>
    <x v="4"/>
    <s v="Electronics"/>
    <n v="8"/>
    <n v="390"/>
    <x v="95"/>
    <n v="1872"/>
    <x v="95"/>
    <x v="0"/>
    <s v="Returning"/>
    <s v="High Profit"/>
    <x v="5"/>
  </r>
  <r>
    <n v="1098"/>
    <s v="27-03-2025"/>
    <x v="0"/>
    <x v="1"/>
    <x v="4"/>
    <s v="Electronics"/>
    <n v="7"/>
    <n v="700"/>
    <x v="96"/>
    <n v="3479"/>
    <x v="96"/>
    <x v="0"/>
    <s v="Returning"/>
    <s v="High Profit"/>
    <x v="2"/>
  </r>
  <r>
    <n v="1099"/>
    <s v="16-05-2025"/>
    <x v="2"/>
    <x v="3"/>
    <x v="4"/>
    <s v="Electronics"/>
    <n v="3"/>
    <n v="718"/>
    <x v="97"/>
    <n v="1572"/>
    <x v="97"/>
    <x v="2"/>
    <s v="New"/>
    <s v="High Profit"/>
    <x v="1"/>
  </r>
  <r>
    <n v="1100"/>
    <s v="26-01-2025"/>
    <x v="2"/>
    <x v="3"/>
    <x v="2"/>
    <s v="Electronics"/>
    <n v="4"/>
    <n v="166"/>
    <x v="98"/>
    <n v="498"/>
    <x v="98"/>
    <x v="0"/>
    <s v="Returning"/>
    <s v="Low Profit"/>
    <x v="3"/>
  </r>
  <r>
    <n v="1705"/>
    <s v="23-04-2025"/>
    <x v="3"/>
    <x v="0"/>
    <x v="0"/>
    <s v="Electronics"/>
    <n v="6"/>
    <n v="814"/>
    <x v="99"/>
    <n v="3028"/>
    <x v="99"/>
    <x v="4"/>
    <s v="New"/>
    <s v="High Profit"/>
    <x v="4"/>
  </r>
  <r>
    <n v="1102"/>
    <s v="10-06-2025"/>
    <x v="1"/>
    <x v="0"/>
    <x v="2"/>
    <s v="Electronics"/>
    <n v="6"/>
    <n v="147"/>
    <x v="100"/>
    <n v="599"/>
    <x v="100"/>
    <x v="0"/>
    <s v="Returning"/>
    <s v="High Profit"/>
    <x v="5"/>
  </r>
  <r>
    <n v="1103"/>
    <s v="31-03-2025"/>
    <x v="0"/>
    <x v="3"/>
    <x v="3"/>
    <s v="Electronics"/>
    <n v="9"/>
    <n v="585"/>
    <x v="101"/>
    <n v="4054"/>
    <x v="101"/>
    <x v="4"/>
    <s v="Returning"/>
    <s v="High Profit"/>
    <x v="2"/>
  </r>
  <r>
    <n v="1104"/>
    <s v="12-06-2025"/>
    <x v="1"/>
    <x v="3"/>
    <x v="4"/>
    <s v="Electronics"/>
    <n v="10"/>
    <n v="675"/>
    <x v="102"/>
    <n v="5130"/>
    <x v="102"/>
    <x v="1"/>
    <s v="New"/>
    <s v="High Profit"/>
    <x v="5"/>
  </r>
  <r>
    <n v="1105"/>
    <s v="13-06-2025"/>
    <x v="1"/>
    <x v="2"/>
    <x v="0"/>
    <s v="Electronics"/>
    <n v="7"/>
    <n v="344"/>
    <x v="103"/>
    <n v="1685"/>
    <x v="103"/>
    <x v="4"/>
    <s v="Returning"/>
    <s v="High Profit"/>
    <x v="5"/>
  </r>
  <r>
    <n v="1753"/>
    <s v="25-06-2025"/>
    <x v="3"/>
    <x v="0"/>
    <x v="3"/>
    <s v="Electronics"/>
    <n v="9"/>
    <n v="940"/>
    <x v="104"/>
    <n v="6683"/>
    <x v="104"/>
    <x v="2"/>
    <s v="Returning"/>
    <s v="High Profit"/>
    <x v="5"/>
  </r>
  <r>
    <n v="1107"/>
    <s v="23-03-2025"/>
    <x v="1"/>
    <x v="0"/>
    <x v="5"/>
    <s v="Accessories"/>
    <n v="4"/>
    <n v="442"/>
    <x v="105"/>
    <n v="1414"/>
    <x v="105"/>
    <x v="1"/>
    <s v="New"/>
    <s v="High Profit"/>
    <x v="2"/>
  </r>
  <r>
    <n v="1703"/>
    <s v="03-04-2025"/>
    <x v="3"/>
    <x v="0"/>
    <x v="4"/>
    <s v="Electronics"/>
    <n v="7"/>
    <n v="871"/>
    <x v="106"/>
    <n v="4328"/>
    <x v="106"/>
    <x v="0"/>
    <s v="Returning"/>
    <s v="High Profit"/>
    <x v="4"/>
  </r>
  <r>
    <n v="1109"/>
    <s v="15-04-2025"/>
    <x v="2"/>
    <x v="3"/>
    <x v="2"/>
    <s v="Electronics"/>
    <n v="5"/>
    <n v="289"/>
    <x v="107"/>
    <n v="867"/>
    <x v="107"/>
    <x v="2"/>
    <s v="New"/>
    <s v="High Profit"/>
    <x v="4"/>
  </r>
  <r>
    <n v="1110"/>
    <s v="18-04-2025"/>
    <x v="1"/>
    <x v="2"/>
    <x v="5"/>
    <s v="Accessories"/>
    <n v="9"/>
    <n v="647"/>
    <x v="108"/>
    <n v="4250"/>
    <x v="108"/>
    <x v="2"/>
    <s v="New"/>
    <s v="High Profit"/>
    <x v="4"/>
  </r>
  <r>
    <n v="1111"/>
    <s v="28-01-2025"/>
    <x v="2"/>
    <x v="2"/>
    <x v="5"/>
    <s v="Accessories"/>
    <n v="4"/>
    <n v="90"/>
    <x v="109"/>
    <n v="230"/>
    <x v="109"/>
    <x v="2"/>
    <s v="New"/>
    <s v="Low Profit"/>
    <x v="3"/>
  </r>
  <r>
    <n v="1112"/>
    <s v="31-05-2025"/>
    <x v="0"/>
    <x v="3"/>
    <x v="5"/>
    <s v="Accessories"/>
    <n v="6"/>
    <n v="72"/>
    <x v="110"/>
    <n v="332"/>
    <x v="110"/>
    <x v="4"/>
    <s v="Returning"/>
    <s v="Low Profit"/>
    <x v="1"/>
  </r>
  <r>
    <n v="1113"/>
    <s v="20-02-2025"/>
    <x v="2"/>
    <x v="1"/>
    <x v="1"/>
    <s v="Accessories"/>
    <n v="5"/>
    <n v="238"/>
    <x v="111"/>
    <n v="892"/>
    <x v="111"/>
    <x v="2"/>
    <s v="Returning"/>
    <s v="High Profit"/>
    <x v="0"/>
  </r>
  <r>
    <n v="1114"/>
    <s v="31-01-2025"/>
    <x v="2"/>
    <x v="3"/>
    <x v="2"/>
    <s v="Electronics"/>
    <n v="2"/>
    <n v="614"/>
    <x v="112"/>
    <n v="810"/>
    <x v="112"/>
    <x v="0"/>
    <s v="Returning"/>
    <s v="High Profit"/>
    <x v="3"/>
  </r>
  <r>
    <n v="1115"/>
    <s v="02-01-2025"/>
    <x v="2"/>
    <x v="3"/>
    <x v="0"/>
    <s v="Electronics"/>
    <n v="7"/>
    <n v="214"/>
    <x v="113"/>
    <n v="1108"/>
    <x v="113"/>
    <x v="1"/>
    <s v="New"/>
    <s v="High Profit"/>
    <x v="3"/>
  </r>
  <r>
    <n v="1116"/>
    <s v="10-06-2025"/>
    <x v="0"/>
    <x v="2"/>
    <x v="0"/>
    <s v="Electronics"/>
    <n v="7"/>
    <n v="644"/>
    <x v="114"/>
    <n v="3606"/>
    <x v="114"/>
    <x v="2"/>
    <s v="New"/>
    <s v="High Profit"/>
    <x v="5"/>
  </r>
  <r>
    <n v="1586"/>
    <s v="10-02-2025"/>
    <x v="3"/>
    <x v="2"/>
    <x v="2"/>
    <s v="Electronics"/>
    <n v="9"/>
    <n v="825"/>
    <x v="115"/>
    <n v="5717"/>
    <x v="115"/>
    <x v="4"/>
    <s v="New"/>
    <s v="High Profit"/>
    <x v="0"/>
  </r>
  <r>
    <n v="1118"/>
    <s v="23-01-2025"/>
    <x v="2"/>
    <x v="2"/>
    <x v="5"/>
    <s v="Accessories"/>
    <n v="6"/>
    <n v="664"/>
    <x v="116"/>
    <n v="2470"/>
    <x v="116"/>
    <x v="3"/>
    <s v="Returning"/>
    <s v="High Profit"/>
    <x v="3"/>
  </r>
  <r>
    <n v="1480"/>
    <s v="07-04-2025"/>
    <x v="3"/>
    <x v="1"/>
    <x v="4"/>
    <s v="Electronics"/>
    <n v="8"/>
    <n v="759"/>
    <x v="117"/>
    <n v="4371"/>
    <x v="117"/>
    <x v="4"/>
    <s v="New"/>
    <s v="High Profit"/>
    <x v="4"/>
  </r>
  <r>
    <n v="1120"/>
    <s v="20-06-2025"/>
    <x v="0"/>
    <x v="0"/>
    <x v="0"/>
    <s v="Electronics"/>
    <n v="2"/>
    <n v="124"/>
    <x v="118"/>
    <n v="148"/>
    <x v="110"/>
    <x v="4"/>
    <s v="Returning"/>
    <s v="Low Profit"/>
    <x v="5"/>
  </r>
  <r>
    <n v="1121"/>
    <s v="17-01-2025"/>
    <x v="2"/>
    <x v="2"/>
    <x v="4"/>
    <s v="Electronics"/>
    <n v="9"/>
    <n v="293"/>
    <x v="119"/>
    <n v="1740"/>
    <x v="118"/>
    <x v="0"/>
    <s v="Returning"/>
    <s v="High Profit"/>
    <x v="3"/>
  </r>
  <r>
    <n v="1122"/>
    <s v="05-01-2025"/>
    <x v="1"/>
    <x v="0"/>
    <x v="1"/>
    <s v="Accessories"/>
    <n v="6"/>
    <n v="167"/>
    <x v="120"/>
    <n v="681"/>
    <x v="1"/>
    <x v="1"/>
    <s v="Returning"/>
    <s v="High Profit"/>
    <x v="3"/>
  </r>
  <r>
    <n v="1987"/>
    <s v="24-01-2025"/>
    <x v="3"/>
    <x v="0"/>
    <x v="4"/>
    <s v="Electronics"/>
    <n v="9"/>
    <n v="933"/>
    <x v="121"/>
    <n v="6717"/>
    <x v="119"/>
    <x v="0"/>
    <s v="Returning"/>
    <s v="High Profit"/>
    <x v="3"/>
  </r>
  <r>
    <n v="1124"/>
    <s v="05-05-2025"/>
    <x v="2"/>
    <x v="0"/>
    <x v="2"/>
    <s v="Electronics"/>
    <n v="6"/>
    <n v="87"/>
    <x v="122"/>
    <n v="354"/>
    <x v="120"/>
    <x v="3"/>
    <s v="New"/>
    <s v="Low Profit"/>
    <x v="1"/>
  </r>
  <r>
    <n v="1125"/>
    <s v="13-03-2025"/>
    <x v="0"/>
    <x v="3"/>
    <x v="0"/>
    <s v="Electronics"/>
    <n v="2"/>
    <n v="490"/>
    <x v="123"/>
    <n v="705"/>
    <x v="121"/>
    <x v="0"/>
    <s v="Returning"/>
    <s v="High Profit"/>
    <x v="2"/>
  </r>
  <r>
    <n v="1393"/>
    <s v="29-03-2025"/>
    <x v="3"/>
    <x v="1"/>
    <x v="3"/>
    <s v="Electronics"/>
    <n v="10"/>
    <n v="729"/>
    <x v="124"/>
    <n v="5613"/>
    <x v="122"/>
    <x v="1"/>
    <s v="New"/>
    <s v="High Profit"/>
    <x v="2"/>
  </r>
  <r>
    <n v="1127"/>
    <s v="02-01-2025"/>
    <x v="2"/>
    <x v="3"/>
    <x v="2"/>
    <s v="Electronics"/>
    <n v="6"/>
    <n v="666"/>
    <x v="125"/>
    <n v="2997"/>
    <x v="123"/>
    <x v="1"/>
    <s v="Returning"/>
    <s v="High Profit"/>
    <x v="3"/>
  </r>
  <r>
    <n v="1128"/>
    <s v="11-01-2025"/>
    <x v="3"/>
    <x v="1"/>
    <x v="5"/>
    <s v="Accessories"/>
    <n v="10"/>
    <n v="379"/>
    <x v="126"/>
    <n v="2274"/>
    <x v="124"/>
    <x v="1"/>
    <s v="New"/>
    <s v="High Profit"/>
    <x v="3"/>
  </r>
  <r>
    <n v="1129"/>
    <s v="22-01-2025"/>
    <x v="3"/>
    <x v="2"/>
    <x v="1"/>
    <s v="Accessories"/>
    <n v="3"/>
    <n v="810"/>
    <x v="127"/>
    <n v="1628"/>
    <x v="125"/>
    <x v="3"/>
    <s v="New"/>
    <s v="High Profit"/>
    <x v="3"/>
  </r>
  <r>
    <n v="1130"/>
    <s v="05-05-2025"/>
    <x v="0"/>
    <x v="0"/>
    <x v="5"/>
    <s v="Accessories"/>
    <n v="9"/>
    <n v="294"/>
    <x v="128"/>
    <n v="1799"/>
    <x v="126"/>
    <x v="4"/>
    <s v="Returning"/>
    <s v="High Profit"/>
    <x v="1"/>
  </r>
  <r>
    <n v="1131"/>
    <s v="06-03-2025"/>
    <x v="2"/>
    <x v="3"/>
    <x v="5"/>
    <s v="Accessories"/>
    <n v="1"/>
    <n v="672"/>
    <x v="129"/>
    <n v="504"/>
    <x v="120"/>
    <x v="3"/>
    <s v="Returning"/>
    <s v="Low Profit"/>
    <x v="2"/>
  </r>
  <r>
    <n v="1132"/>
    <s v="17-03-2025"/>
    <x v="2"/>
    <x v="1"/>
    <x v="2"/>
    <s v="Electronics"/>
    <n v="3"/>
    <n v="387"/>
    <x v="130"/>
    <n v="696"/>
    <x v="127"/>
    <x v="2"/>
    <s v="New"/>
    <s v="High Profit"/>
    <x v="2"/>
  </r>
  <r>
    <n v="1133"/>
    <s v="22-01-2025"/>
    <x v="2"/>
    <x v="3"/>
    <x v="5"/>
    <s v="Accessories"/>
    <n v="8"/>
    <n v="986"/>
    <x v="131"/>
    <n v="4732"/>
    <x v="128"/>
    <x v="3"/>
    <s v="New"/>
    <s v="High Profit"/>
    <x v="3"/>
  </r>
  <r>
    <n v="1134"/>
    <s v="08-06-2025"/>
    <x v="1"/>
    <x v="3"/>
    <x v="5"/>
    <s v="Accessories"/>
    <n v="2"/>
    <n v="205"/>
    <x v="132"/>
    <n v="250"/>
    <x v="129"/>
    <x v="0"/>
    <s v="New"/>
    <s v="Low Profit"/>
    <x v="5"/>
  </r>
  <r>
    <n v="1135"/>
    <s v="12-05-2025"/>
    <x v="2"/>
    <x v="1"/>
    <x v="2"/>
    <s v="Electronics"/>
    <n v="10"/>
    <n v="492"/>
    <x v="133"/>
    <n v="3886"/>
    <x v="130"/>
    <x v="2"/>
    <s v="New"/>
    <s v="High Profit"/>
    <x v="1"/>
  </r>
  <r>
    <n v="1136"/>
    <s v="14-02-2025"/>
    <x v="0"/>
    <x v="3"/>
    <x v="0"/>
    <s v="Electronics"/>
    <n v="4"/>
    <n v="135"/>
    <x v="134"/>
    <n v="378"/>
    <x v="131"/>
    <x v="2"/>
    <s v="New"/>
    <s v="Low Profit"/>
    <x v="0"/>
  </r>
  <r>
    <n v="1988"/>
    <s v="20-06-2025"/>
    <x v="3"/>
    <x v="3"/>
    <x v="2"/>
    <s v="Electronics"/>
    <n v="8"/>
    <n v="849"/>
    <x v="135"/>
    <n v="5161"/>
    <x v="132"/>
    <x v="1"/>
    <s v="Returning"/>
    <s v="High Profit"/>
    <x v="5"/>
  </r>
  <r>
    <n v="1138"/>
    <s v="12-02-2025"/>
    <x v="2"/>
    <x v="1"/>
    <x v="0"/>
    <s v="Electronics"/>
    <n v="3"/>
    <n v="943"/>
    <x v="136"/>
    <n v="2008"/>
    <x v="133"/>
    <x v="3"/>
    <s v="Returning"/>
    <s v="High Profit"/>
    <x v="0"/>
  </r>
  <r>
    <n v="1139"/>
    <s v="18-05-2025"/>
    <x v="1"/>
    <x v="2"/>
    <x v="2"/>
    <s v="Electronics"/>
    <n v="10"/>
    <n v="95"/>
    <x v="137"/>
    <n v="684"/>
    <x v="52"/>
    <x v="1"/>
    <s v="Returning"/>
    <s v="High Profit"/>
    <x v="1"/>
  </r>
  <r>
    <n v="1140"/>
    <s v="26-01-2025"/>
    <x v="1"/>
    <x v="0"/>
    <x v="5"/>
    <s v="Accessories"/>
    <n v="1"/>
    <n v="700"/>
    <x v="138"/>
    <n v="448"/>
    <x v="134"/>
    <x v="0"/>
    <s v="New"/>
    <s v="High Profit"/>
    <x v="3"/>
  </r>
  <r>
    <n v="1141"/>
    <s v="12-06-2025"/>
    <x v="3"/>
    <x v="0"/>
    <x v="1"/>
    <s v="Accessories"/>
    <n v="6"/>
    <n v="560"/>
    <x v="139"/>
    <n v="2385"/>
    <x v="135"/>
    <x v="0"/>
    <s v="New"/>
    <s v="High Profit"/>
    <x v="5"/>
  </r>
  <r>
    <n v="1142"/>
    <s v="29-01-2025"/>
    <x v="0"/>
    <x v="0"/>
    <x v="2"/>
    <s v="Electronics"/>
    <n v="8"/>
    <n v="53"/>
    <x v="140"/>
    <n v="318"/>
    <x v="136"/>
    <x v="3"/>
    <s v="Returning"/>
    <s v="Low Profit"/>
    <x v="3"/>
  </r>
  <r>
    <n v="1143"/>
    <s v="21-01-2025"/>
    <x v="3"/>
    <x v="0"/>
    <x v="1"/>
    <s v="Accessories"/>
    <n v="7"/>
    <n v="973"/>
    <x v="141"/>
    <n v="4222"/>
    <x v="137"/>
    <x v="0"/>
    <s v="Returning"/>
    <s v="High Profit"/>
    <x v="3"/>
  </r>
  <r>
    <n v="1144"/>
    <s v="16-04-2025"/>
    <x v="3"/>
    <x v="2"/>
    <x v="1"/>
    <s v="Accessories"/>
    <n v="6"/>
    <n v="998"/>
    <x v="142"/>
    <n v="4550"/>
    <x v="138"/>
    <x v="4"/>
    <s v="Returning"/>
    <s v="High Profit"/>
    <x v="4"/>
  </r>
  <r>
    <n v="1145"/>
    <s v="02-05-2025"/>
    <x v="2"/>
    <x v="2"/>
    <x v="1"/>
    <s v="Accessories"/>
    <n v="9"/>
    <n v="320"/>
    <x v="143"/>
    <n v="1872"/>
    <x v="139"/>
    <x v="2"/>
    <s v="New"/>
    <s v="High Profit"/>
    <x v="1"/>
  </r>
  <r>
    <n v="1146"/>
    <s v="09-02-2025"/>
    <x v="2"/>
    <x v="0"/>
    <x v="3"/>
    <s v="Electronics"/>
    <n v="3"/>
    <n v="669"/>
    <x v="144"/>
    <n v="1384"/>
    <x v="140"/>
    <x v="3"/>
    <s v="New"/>
    <s v="High Profit"/>
    <x v="0"/>
  </r>
  <r>
    <n v="1147"/>
    <s v="25-06-2025"/>
    <x v="1"/>
    <x v="1"/>
    <x v="5"/>
    <s v="Accessories"/>
    <n v="9"/>
    <n v="190"/>
    <x v="145"/>
    <n v="1179"/>
    <x v="141"/>
    <x v="0"/>
    <s v="Returning"/>
    <s v="High Profit"/>
    <x v="5"/>
  </r>
  <r>
    <n v="1148"/>
    <s v="30-04-2025"/>
    <x v="0"/>
    <x v="1"/>
    <x v="3"/>
    <s v="Electronics"/>
    <n v="1"/>
    <n v="735"/>
    <x v="146"/>
    <n v="492"/>
    <x v="142"/>
    <x v="4"/>
    <s v="New"/>
    <s v="High Profit"/>
    <x v="4"/>
  </r>
  <r>
    <n v="1149"/>
    <s v="15-02-2025"/>
    <x v="3"/>
    <x v="3"/>
    <x v="1"/>
    <s v="Accessories"/>
    <n v="7"/>
    <n v="370"/>
    <x v="147"/>
    <n v="1942"/>
    <x v="143"/>
    <x v="4"/>
    <s v="Returning"/>
    <s v="High Profit"/>
    <x v="0"/>
  </r>
  <r>
    <n v="1150"/>
    <s v="22-01-2025"/>
    <x v="1"/>
    <x v="3"/>
    <x v="3"/>
    <s v="Electronics"/>
    <n v="4"/>
    <n v="458"/>
    <x v="148"/>
    <n v="1428"/>
    <x v="72"/>
    <x v="0"/>
    <s v="Returning"/>
    <s v="High Profit"/>
    <x v="3"/>
  </r>
  <r>
    <n v="1151"/>
    <s v="15-05-2025"/>
    <x v="3"/>
    <x v="0"/>
    <x v="1"/>
    <s v="Accessories"/>
    <n v="8"/>
    <n v="927"/>
    <x v="149"/>
    <n v="4894"/>
    <x v="144"/>
    <x v="2"/>
    <s v="Returning"/>
    <s v="High Profit"/>
    <x v="1"/>
  </r>
  <r>
    <n v="1152"/>
    <s v="29-06-2025"/>
    <x v="1"/>
    <x v="1"/>
    <x v="3"/>
    <s v="Electronics"/>
    <n v="6"/>
    <n v="696"/>
    <x v="150"/>
    <n v="2547"/>
    <x v="145"/>
    <x v="2"/>
    <s v="Returning"/>
    <s v="High Profit"/>
    <x v="5"/>
  </r>
  <r>
    <n v="1153"/>
    <s v="01-05-2025"/>
    <x v="2"/>
    <x v="2"/>
    <x v="4"/>
    <s v="Electronics"/>
    <n v="2"/>
    <n v="747"/>
    <x v="151"/>
    <n v="971"/>
    <x v="146"/>
    <x v="4"/>
    <s v="Returning"/>
    <s v="High Profit"/>
    <x v="1"/>
  </r>
  <r>
    <n v="1154"/>
    <s v="23-01-2025"/>
    <x v="0"/>
    <x v="2"/>
    <x v="5"/>
    <s v="Accessories"/>
    <n v="7"/>
    <n v="896"/>
    <x v="152"/>
    <n v="4327"/>
    <x v="147"/>
    <x v="3"/>
    <s v="New"/>
    <s v="High Profit"/>
    <x v="3"/>
  </r>
  <r>
    <n v="1155"/>
    <s v="25-01-2025"/>
    <x v="3"/>
    <x v="0"/>
    <x v="5"/>
    <s v="Accessories"/>
    <n v="6"/>
    <n v="241"/>
    <x v="153"/>
    <n v="1070"/>
    <x v="148"/>
    <x v="4"/>
    <s v="Returning"/>
    <s v="High Profit"/>
    <x v="3"/>
  </r>
  <r>
    <n v="1317"/>
    <s v="06-06-2025"/>
    <x v="3"/>
    <x v="1"/>
    <x v="2"/>
    <s v="Electronics"/>
    <n v="6"/>
    <n v="692"/>
    <x v="154"/>
    <n v="2532"/>
    <x v="102"/>
    <x v="1"/>
    <s v="New"/>
    <s v="High Profit"/>
    <x v="5"/>
  </r>
  <r>
    <n v="1510"/>
    <s v="28-03-2025"/>
    <x v="3"/>
    <x v="2"/>
    <x v="2"/>
    <s v="Electronics"/>
    <n v="8"/>
    <n v="530"/>
    <x v="155"/>
    <n v="2628"/>
    <x v="149"/>
    <x v="2"/>
    <s v="Returning"/>
    <s v="High Profit"/>
    <x v="2"/>
  </r>
  <r>
    <n v="1158"/>
    <s v="29-05-2025"/>
    <x v="1"/>
    <x v="3"/>
    <x v="3"/>
    <s v="Electronics"/>
    <n v="6"/>
    <n v="421"/>
    <x v="156"/>
    <n v="1894"/>
    <x v="150"/>
    <x v="0"/>
    <s v="Returning"/>
    <s v="High Profit"/>
    <x v="1"/>
  </r>
  <r>
    <n v="1159"/>
    <s v="16-04-2025"/>
    <x v="1"/>
    <x v="3"/>
    <x v="1"/>
    <s v="Accessories"/>
    <n v="3"/>
    <n v="884"/>
    <x v="157"/>
    <n v="1909"/>
    <x v="151"/>
    <x v="2"/>
    <s v="Returning"/>
    <s v="High Profit"/>
    <x v="4"/>
  </r>
  <r>
    <n v="1912"/>
    <s v="02-05-2025"/>
    <x v="3"/>
    <x v="0"/>
    <x v="2"/>
    <s v="Electronics"/>
    <n v="7"/>
    <n v="782"/>
    <x v="158"/>
    <n v="3886"/>
    <x v="152"/>
    <x v="2"/>
    <s v="New"/>
    <s v="High Profit"/>
    <x v="1"/>
  </r>
  <r>
    <n v="1548"/>
    <s v="05-04-2025"/>
    <x v="3"/>
    <x v="3"/>
    <x v="4"/>
    <s v="Electronics"/>
    <n v="5"/>
    <n v="931"/>
    <x v="159"/>
    <n v="3072"/>
    <x v="153"/>
    <x v="1"/>
    <s v="Returning"/>
    <s v="High Profit"/>
    <x v="4"/>
  </r>
  <r>
    <n v="1162"/>
    <s v="25-06-2025"/>
    <x v="0"/>
    <x v="3"/>
    <x v="4"/>
    <s v="Electronics"/>
    <n v="2"/>
    <n v="464"/>
    <x v="160"/>
    <n v="658"/>
    <x v="154"/>
    <x v="1"/>
    <s v="Returning"/>
    <s v="High Profit"/>
    <x v="5"/>
  </r>
  <r>
    <n v="1163"/>
    <s v="06-04-2025"/>
    <x v="0"/>
    <x v="1"/>
    <x v="3"/>
    <s v="Electronics"/>
    <n v="1"/>
    <n v="549"/>
    <x v="82"/>
    <n v="384"/>
    <x v="155"/>
    <x v="2"/>
    <s v="New"/>
    <s v="Low Profit"/>
    <x v="4"/>
  </r>
  <r>
    <n v="1164"/>
    <s v="24-03-2025"/>
    <x v="0"/>
    <x v="0"/>
    <x v="0"/>
    <s v="Electronics"/>
    <n v="1"/>
    <n v="878"/>
    <x v="161"/>
    <n v="702"/>
    <x v="156"/>
    <x v="1"/>
    <s v="Returning"/>
    <s v="Low Profit"/>
    <x v="2"/>
  </r>
  <r>
    <n v="1165"/>
    <s v="27-06-2025"/>
    <x v="0"/>
    <x v="3"/>
    <x v="2"/>
    <s v="Electronics"/>
    <n v="3"/>
    <n v="842"/>
    <x v="156"/>
    <n v="1945"/>
    <x v="157"/>
    <x v="0"/>
    <s v="New"/>
    <s v="High Profit"/>
    <x v="5"/>
  </r>
  <r>
    <n v="1166"/>
    <s v="01-02-2025"/>
    <x v="3"/>
    <x v="1"/>
    <x v="5"/>
    <s v="Accessories"/>
    <n v="5"/>
    <n v="199"/>
    <x v="162"/>
    <n v="676"/>
    <x v="158"/>
    <x v="3"/>
    <s v="New"/>
    <s v="High Profit"/>
    <x v="0"/>
  </r>
  <r>
    <n v="1167"/>
    <s v="10-03-2025"/>
    <x v="1"/>
    <x v="0"/>
    <x v="1"/>
    <s v="Accessories"/>
    <n v="2"/>
    <n v="869"/>
    <x v="163"/>
    <n v="1199"/>
    <x v="159"/>
    <x v="0"/>
    <s v="Returning"/>
    <s v="High Profit"/>
    <x v="2"/>
  </r>
  <r>
    <n v="1168"/>
    <s v="29-05-2025"/>
    <x v="3"/>
    <x v="2"/>
    <x v="5"/>
    <s v="Accessories"/>
    <n v="3"/>
    <n v="687"/>
    <x v="164"/>
    <n v="1607"/>
    <x v="160"/>
    <x v="3"/>
    <s v="New"/>
    <s v="High Profit"/>
    <x v="1"/>
  </r>
  <r>
    <n v="1169"/>
    <s v="20-06-2025"/>
    <x v="1"/>
    <x v="3"/>
    <x v="0"/>
    <s v="Electronics"/>
    <n v="9"/>
    <n v="560"/>
    <x v="165"/>
    <n v="3528"/>
    <x v="161"/>
    <x v="4"/>
    <s v="Returning"/>
    <s v="High Profit"/>
    <x v="5"/>
  </r>
  <r>
    <n v="1170"/>
    <s v="20-05-2025"/>
    <x v="1"/>
    <x v="1"/>
    <x v="2"/>
    <s v="Electronics"/>
    <n v="4"/>
    <n v="767"/>
    <x v="166"/>
    <n v="1994"/>
    <x v="162"/>
    <x v="4"/>
    <s v="New"/>
    <s v="High Profit"/>
    <x v="1"/>
  </r>
  <r>
    <n v="1171"/>
    <s v="09-04-2025"/>
    <x v="1"/>
    <x v="1"/>
    <x v="5"/>
    <s v="Accessories"/>
    <n v="1"/>
    <n v="521"/>
    <x v="167"/>
    <n v="390"/>
    <x v="163"/>
    <x v="3"/>
    <s v="Returning"/>
    <s v="Low Profit"/>
    <x v="4"/>
  </r>
  <r>
    <n v="1713"/>
    <s v="17-01-2025"/>
    <x v="3"/>
    <x v="1"/>
    <x v="4"/>
    <s v="Electronics"/>
    <n v="7"/>
    <n v="662"/>
    <x v="168"/>
    <n v="3058"/>
    <x v="164"/>
    <x v="1"/>
    <s v="Returning"/>
    <s v="High Profit"/>
    <x v="3"/>
  </r>
  <r>
    <n v="1173"/>
    <s v="02-01-2025"/>
    <x v="1"/>
    <x v="2"/>
    <x v="2"/>
    <s v="Electronics"/>
    <n v="6"/>
    <n v="713"/>
    <x v="169"/>
    <n v="3294"/>
    <x v="165"/>
    <x v="2"/>
    <s v="Returning"/>
    <s v="High Profit"/>
    <x v="3"/>
  </r>
  <r>
    <n v="1174"/>
    <s v="03-05-2025"/>
    <x v="0"/>
    <x v="0"/>
    <x v="4"/>
    <s v="Electronics"/>
    <n v="7"/>
    <n v="652"/>
    <x v="170"/>
    <n v="2966"/>
    <x v="166"/>
    <x v="1"/>
    <s v="New"/>
    <s v="High Profit"/>
    <x v="1"/>
  </r>
  <r>
    <n v="1175"/>
    <s v="02-02-2025"/>
    <x v="2"/>
    <x v="2"/>
    <x v="1"/>
    <s v="Accessories"/>
    <n v="1"/>
    <n v="738"/>
    <x v="171"/>
    <n v="501"/>
    <x v="167"/>
    <x v="1"/>
    <s v="Returning"/>
    <s v="High Profit"/>
    <x v="0"/>
  </r>
  <r>
    <n v="1291"/>
    <s v="04-02-2025"/>
    <x v="3"/>
    <x v="2"/>
    <x v="3"/>
    <s v="Electronics"/>
    <n v="7"/>
    <n v="683"/>
    <x v="172"/>
    <n v="3251"/>
    <x v="168"/>
    <x v="3"/>
    <s v="New"/>
    <s v="High Profit"/>
    <x v="0"/>
  </r>
  <r>
    <n v="1177"/>
    <s v="13-05-2025"/>
    <x v="2"/>
    <x v="2"/>
    <x v="2"/>
    <s v="Electronics"/>
    <n v="8"/>
    <n v="775"/>
    <x v="63"/>
    <n v="4836"/>
    <x v="169"/>
    <x v="0"/>
    <s v="New"/>
    <s v="High Profit"/>
    <x v="1"/>
  </r>
  <r>
    <n v="1178"/>
    <s v="21-01-2025"/>
    <x v="0"/>
    <x v="1"/>
    <x v="5"/>
    <s v="Accessories"/>
    <n v="10"/>
    <n v="866"/>
    <x v="173"/>
    <n v="5369"/>
    <x v="170"/>
    <x v="2"/>
    <s v="New"/>
    <s v="High Profit"/>
    <x v="3"/>
  </r>
  <r>
    <n v="1179"/>
    <s v="20-01-2025"/>
    <x v="1"/>
    <x v="3"/>
    <x v="0"/>
    <s v="Electronics"/>
    <n v="8"/>
    <n v="979"/>
    <x v="174"/>
    <n v="4934"/>
    <x v="171"/>
    <x v="3"/>
    <s v="Returning"/>
    <s v="High Profit"/>
    <x v="3"/>
  </r>
  <r>
    <n v="1180"/>
    <s v="05-01-2025"/>
    <x v="3"/>
    <x v="2"/>
    <x v="5"/>
    <s v="Accessories"/>
    <n v="9"/>
    <n v="712"/>
    <x v="175"/>
    <n v="4421"/>
    <x v="172"/>
    <x v="0"/>
    <s v="New"/>
    <s v="High Profit"/>
    <x v="3"/>
  </r>
  <r>
    <n v="1181"/>
    <s v="25-03-2025"/>
    <x v="0"/>
    <x v="0"/>
    <x v="2"/>
    <s v="Electronics"/>
    <n v="1"/>
    <n v="566"/>
    <x v="176"/>
    <n v="401"/>
    <x v="155"/>
    <x v="3"/>
    <s v="Returning"/>
    <s v="Low Profit"/>
    <x v="2"/>
  </r>
  <r>
    <n v="1182"/>
    <s v="22-01-2025"/>
    <x v="2"/>
    <x v="2"/>
    <x v="3"/>
    <s v="Electronics"/>
    <n v="1"/>
    <n v="920"/>
    <x v="177"/>
    <n v="579"/>
    <x v="173"/>
    <x v="3"/>
    <s v="Returning"/>
    <s v="High Profit"/>
    <x v="3"/>
  </r>
  <r>
    <n v="1226"/>
    <s v="22-06-2025"/>
    <x v="3"/>
    <x v="3"/>
    <x v="2"/>
    <s v="Electronics"/>
    <n v="5"/>
    <n v="835"/>
    <x v="178"/>
    <n v="2672"/>
    <x v="174"/>
    <x v="1"/>
    <s v="New"/>
    <s v="High Profit"/>
    <x v="5"/>
  </r>
  <r>
    <n v="1184"/>
    <s v="24-05-2025"/>
    <x v="0"/>
    <x v="0"/>
    <x v="4"/>
    <s v="Electronics"/>
    <n v="1"/>
    <n v="137"/>
    <x v="179"/>
    <n v="109"/>
    <x v="175"/>
    <x v="4"/>
    <s v="New"/>
    <s v="Low Profit"/>
    <x v="1"/>
  </r>
  <r>
    <n v="1185"/>
    <s v="26-03-2025"/>
    <x v="3"/>
    <x v="2"/>
    <x v="5"/>
    <s v="Accessories"/>
    <n v="8"/>
    <n v="257"/>
    <x v="180"/>
    <n v="1480"/>
    <x v="176"/>
    <x v="1"/>
    <s v="Returning"/>
    <s v="High Profit"/>
    <x v="2"/>
  </r>
  <r>
    <n v="1186"/>
    <s v="10-06-2025"/>
    <x v="0"/>
    <x v="2"/>
    <x v="0"/>
    <s v="Electronics"/>
    <n v="7"/>
    <n v="848"/>
    <x v="181"/>
    <n v="4095"/>
    <x v="177"/>
    <x v="0"/>
    <s v="Returning"/>
    <s v="High Profit"/>
    <x v="5"/>
  </r>
  <r>
    <n v="1187"/>
    <s v="14-06-2025"/>
    <x v="3"/>
    <x v="2"/>
    <x v="1"/>
    <s v="Accessories"/>
    <n v="8"/>
    <n v="566"/>
    <x v="182"/>
    <n v="3622"/>
    <x v="178"/>
    <x v="1"/>
    <s v="New"/>
    <s v="High Profit"/>
    <x v="5"/>
  </r>
  <r>
    <n v="1188"/>
    <s v="11-01-2025"/>
    <x v="2"/>
    <x v="0"/>
    <x v="3"/>
    <s v="Electronics"/>
    <n v="8"/>
    <n v="421"/>
    <x v="183"/>
    <n v="2088"/>
    <x v="179"/>
    <x v="3"/>
    <s v="New"/>
    <s v="High Profit"/>
    <x v="3"/>
  </r>
  <r>
    <n v="1189"/>
    <s v="24-01-2025"/>
    <x v="2"/>
    <x v="1"/>
    <x v="2"/>
    <s v="Electronics"/>
    <n v="9"/>
    <n v="783"/>
    <x v="24"/>
    <n v="4510"/>
    <x v="180"/>
    <x v="1"/>
    <s v="Returning"/>
    <s v="High Profit"/>
    <x v="3"/>
  </r>
  <r>
    <n v="1190"/>
    <s v="29-05-2025"/>
    <x v="1"/>
    <x v="2"/>
    <x v="2"/>
    <s v="Electronics"/>
    <n v="8"/>
    <n v="282"/>
    <x v="184"/>
    <n v="1759"/>
    <x v="181"/>
    <x v="1"/>
    <s v="New"/>
    <s v="High Profit"/>
    <x v="1"/>
  </r>
  <r>
    <n v="1191"/>
    <s v="01-04-2025"/>
    <x v="0"/>
    <x v="1"/>
    <x v="2"/>
    <s v="Electronics"/>
    <n v="6"/>
    <n v="499"/>
    <x v="185"/>
    <n v="1946"/>
    <x v="182"/>
    <x v="3"/>
    <s v="Returning"/>
    <s v="High Profit"/>
    <x v="4"/>
  </r>
  <r>
    <n v="1779"/>
    <s v="23-01-2025"/>
    <x v="3"/>
    <x v="3"/>
    <x v="3"/>
    <s v="Electronics"/>
    <n v="8"/>
    <n v="647"/>
    <x v="186"/>
    <n v="3674"/>
    <x v="183"/>
    <x v="1"/>
    <s v="New"/>
    <s v="High Profit"/>
    <x v="3"/>
  </r>
  <r>
    <n v="1193"/>
    <s v="20-03-2025"/>
    <x v="0"/>
    <x v="0"/>
    <x v="0"/>
    <s v="Electronics"/>
    <n v="2"/>
    <n v="348"/>
    <x v="187"/>
    <n v="466"/>
    <x v="184"/>
    <x v="2"/>
    <s v="Returning"/>
    <s v="High Profit"/>
    <x v="2"/>
  </r>
  <r>
    <n v="1624"/>
    <s v="26-01-2025"/>
    <x v="3"/>
    <x v="0"/>
    <x v="2"/>
    <s v="Electronics"/>
    <n v="5"/>
    <n v="899"/>
    <x v="188"/>
    <n v="3011"/>
    <x v="185"/>
    <x v="1"/>
    <s v="New"/>
    <s v="High Profit"/>
    <x v="3"/>
  </r>
  <r>
    <n v="1195"/>
    <s v="21-01-2025"/>
    <x v="1"/>
    <x v="3"/>
    <x v="2"/>
    <s v="Electronics"/>
    <n v="9"/>
    <n v="984"/>
    <x v="189"/>
    <n v="5579"/>
    <x v="186"/>
    <x v="2"/>
    <s v="New"/>
    <s v="High Profit"/>
    <x v="3"/>
  </r>
  <r>
    <n v="1196"/>
    <s v="16-02-2025"/>
    <x v="0"/>
    <x v="0"/>
    <x v="2"/>
    <s v="Electronics"/>
    <n v="1"/>
    <n v="879"/>
    <x v="190"/>
    <n v="588"/>
    <x v="187"/>
    <x v="0"/>
    <s v="Returning"/>
    <s v="High Profit"/>
    <x v="0"/>
  </r>
  <r>
    <n v="1197"/>
    <s v="11-03-2025"/>
    <x v="2"/>
    <x v="1"/>
    <x v="0"/>
    <s v="Electronics"/>
    <n v="7"/>
    <n v="67"/>
    <x v="191"/>
    <n v="332"/>
    <x v="188"/>
    <x v="2"/>
    <s v="Returning"/>
    <s v="Low Profit"/>
    <x v="2"/>
  </r>
  <r>
    <n v="1198"/>
    <s v="20-01-2025"/>
    <x v="2"/>
    <x v="2"/>
    <x v="5"/>
    <s v="Accessories"/>
    <n v="10"/>
    <n v="952"/>
    <x v="192"/>
    <n v="6188"/>
    <x v="189"/>
    <x v="3"/>
    <s v="New"/>
    <s v="High Profit"/>
    <x v="3"/>
  </r>
  <r>
    <n v="1199"/>
    <s v="04-02-2025"/>
    <x v="1"/>
    <x v="1"/>
    <x v="5"/>
    <s v="Accessories"/>
    <n v="3"/>
    <n v="55"/>
    <x v="193"/>
    <n v="103"/>
    <x v="79"/>
    <x v="1"/>
    <s v="New"/>
    <s v="Low Profit"/>
    <x v="0"/>
  </r>
  <r>
    <n v="1200"/>
    <s v="24-02-2025"/>
    <x v="1"/>
    <x v="2"/>
    <x v="2"/>
    <s v="Electronics"/>
    <n v="7"/>
    <n v="135"/>
    <x v="194"/>
    <n v="567"/>
    <x v="190"/>
    <x v="1"/>
    <s v="Returning"/>
    <s v="High Profit"/>
    <x v="0"/>
  </r>
  <r>
    <n v="1201"/>
    <s v="08-04-2025"/>
    <x v="3"/>
    <x v="0"/>
    <x v="1"/>
    <s v="Accessories"/>
    <n v="5"/>
    <n v="499"/>
    <x v="195"/>
    <n v="1671"/>
    <x v="191"/>
    <x v="3"/>
    <s v="New"/>
    <s v="High Profit"/>
    <x v="4"/>
  </r>
  <r>
    <n v="1202"/>
    <s v="23-02-2025"/>
    <x v="1"/>
    <x v="0"/>
    <x v="5"/>
    <s v="Accessories"/>
    <n v="5"/>
    <n v="480"/>
    <x v="196"/>
    <n v="1896"/>
    <x v="192"/>
    <x v="2"/>
    <s v="New"/>
    <s v="High Profit"/>
    <x v="0"/>
  </r>
  <r>
    <n v="1203"/>
    <s v="16-04-2025"/>
    <x v="2"/>
    <x v="3"/>
    <x v="0"/>
    <s v="Electronics"/>
    <n v="6"/>
    <n v="259"/>
    <x v="197"/>
    <n v="1056"/>
    <x v="193"/>
    <x v="0"/>
    <s v="Returning"/>
    <s v="High Profit"/>
    <x v="4"/>
  </r>
  <r>
    <n v="1204"/>
    <s v="28-06-2025"/>
    <x v="0"/>
    <x v="3"/>
    <x v="1"/>
    <s v="Accessories"/>
    <n v="2"/>
    <n v="480"/>
    <x v="198"/>
    <n v="652"/>
    <x v="194"/>
    <x v="0"/>
    <s v="Returning"/>
    <s v="High Profit"/>
    <x v="5"/>
  </r>
  <r>
    <n v="1804"/>
    <s v="02-06-2025"/>
    <x v="3"/>
    <x v="3"/>
    <x v="3"/>
    <s v="Electronics"/>
    <n v="8"/>
    <n v="797"/>
    <x v="199"/>
    <n v="5037"/>
    <x v="87"/>
    <x v="3"/>
    <s v="Returning"/>
    <s v="High Profit"/>
    <x v="5"/>
  </r>
  <r>
    <n v="1206"/>
    <s v="12-03-2025"/>
    <x v="2"/>
    <x v="2"/>
    <x v="4"/>
    <s v="Electronics"/>
    <n v="3"/>
    <n v="497"/>
    <x v="200"/>
    <n v="924"/>
    <x v="195"/>
    <x v="2"/>
    <s v="Returning"/>
    <s v="High Profit"/>
    <x v="2"/>
  </r>
  <r>
    <n v="1207"/>
    <s v="11-03-2025"/>
    <x v="3"/>
    <x v="0"/>
    <x v="5"/>
    <s v="Accessories"/>
    <n v="8"/>
    <n v="360"/>
    <x v="143"/>
    <n v="2160"/>
    <x v="196"/>
    <x v="2"/>
    <s v="New"/>
    <s v="High Profit"/>
    <x v="2"/>
  </r>
  <r>
    <n v="1208"/>
    <s v="21-04-2025"/>
    <x v="2"/>
    <x v="2"/>
    <x v="2"/>
    <s v="Electronics"/>
    <n v="8"/>
    <n v="143"/>
    <x v="201"/>
    <n v="697"/>
    <x v="197"/>
    <x v="0"/>
    <s v="New"/>
    <s v="High Profit"/>
    <x v="4"/>
  </r>
  <r>
    <n v="1896"/>
    <s v="28-06-2025"/>
    <x v="3"/>
    <x v="2"/>
    <x v="0"/>
    <s v="Electronics"/>
    <n v="6"/>
    <n v="824"/>
    <x v="202"/>
    <n v="3609"/>
    <x v="198"/>
    <x v="4"/>
    <s v="New"/>
    <s v="High Profit"/>
    <x v="5"/>
  </r>
  <r>
    <n v="1210"/>
    <s v="12-02-2025"/>
    <x v="1"/>
    <x v="0"/>
    <x v="3"/>
    <s v="Electronics"/>
    <n v="8"/>
    <n v="976"/>
    <x v="203"/>
    <n v="5543"/>
    <x v="199"/>
    <x v="4"/>
    <s v="Returning"/>
    <s v="High Profit"/>
    <x v="0"/>
  </r>
  <r>
    <n v="1211"/>
    <s v="17-04-2025"/>
    <x v="1"/>
    <x v="2"/>
    <x v="0"/>
    <s v="Electronics"/>
    <n v="8"/>
    <n v="615"/>
    <x v="133"/>
    <n v="3739"/>
    <x v="200"/>
    <x v="1"/>
    <s v="New"/>
    <s v="High Profit"/>
    <x v="4"/>
  </r>
  <r>
    <n v="1205"/>
    <s v="05-04-2025"/>
    <x v="3"/>
    <x v="0"/>
    <x v="3"/>
    <s v="Electronics"/>
    <n v="6"/>
    <n v="709"/>
    <x v="204"/>
    <n v="2935"/>
    <x v="201"/>
    <x v="2"/>
    <s v="New"/>
    <s v="High Profit"/>
    <x v="4"/>
  </r>
  <r>
    <n v="1213"/>
    <s v="04-03-2025"/>
    <x v="1"/>
    <x v="2"/>
    <x v="2"/>
    <s v="Electronics"/>
    <n v="9"/>
    <n v="453"/>
    <x v="205"/>
    <n v="2894"/>
    <x v="202"/>
    <x v="1"/>
    <s v="New"/>
    <s v="High Profit"/>
    <x v="2"/>
  </r>
  <r>
    <n v="1126"/>
    <s v="05-03-2025"/>
    <x v="3"/>
    <x v="0"/>
    <x v="3"/>
    <s v="Electronics"/>
    <n v="10"/>
    <n v="326"/>
    <x v="206"/>
    <n v="1988"/>
    <x v="203"/>
    <x v="4"/>
    <s v="New"/>
    <s v="High Profit"/>
    <x v="2"/>
  </r>
  <r>
    <n v="1215"/>
    <s v="22-06-2025"/>
    <x v="3"/>
    <x v="3"/>
    <x v="1"/>
    <s v="Accessories"/>
    <n v="6"/>
    <n v="349"/>
    <x v="207"/>
    <n v="1319"/>
    <x v="204"/>
    <x v="1"/>
    <s v="Returning"/>
    <s v="High Profit"/>
    <x v="5"/>
  </r>
  <r>
    <n v="1216"/>
    <s v="12-03-2025"/>
    <x v="1"/>
    <x v="1"/>
    <x v="2"/>
    <s v="Electronics"/>
    <n v="9"/>
    <n v="124"/>
    <x v="208"/>
    <n v="892"/>
    <x v="205"/>
    <x v="3"/>
    <s v="Returning"/>
    <s v="High Profit"/>
    <x v="2"/>
  </r>
  <r>
    <n v="1217"/>
    <s v="16-06-2025"/>
    <x v="0"/>
    <x v="2"/>
    <x v="1"/>
    <s v="Accessories"/>
    <n v="1"/>
    <n v="468"/>
    <x v="209"/>
    <n v="327"/>
    <x v="206"/>
    <x v="4"/>
    <s v="New"/>
    <s v="Low Profit"/>
    <x v="5"/>
  </r>
  <r>
    <n v="1218"/>
    <s v="08-02-2025"/>
    <x v="2"/>
    <x v="2"/>
    <x v="5"/>
    <s v="Accessories"/>
    <n v="9"/>
    <n v="197"/>
    <x v="210"/>
    <n v="1099"/>
    <x v="207"/>
    <x v="3"/>
    <s v="Returning"/>
    <s v="High Profit"/>
    <x v="0"/>
  </r>
  <r>
    <n v="1219"/>
    <s v="29-01-2025"/>
    <x v="2"/>
    <x v="1"/>
    <x v="3"/>
    <s v="Electronics"/>
    <n v="2"/>
    <n v="544"/>
    <x v="211"/>
    <n v="761"/>
    <x v="208"/>
    <x v="1"/>
    <s v="Returning"/>
    <s v="High Profit"/>
    <x v="3"/>
  </r>
  <r>
    <n v="1220"/>
    <s v="23-04-2025"/>
    <x v="1"/>
    <x v="3"/>
    <x v="1"/>
    <s v="Accessories"/>
    <n v="3"/>
    <n v="587"/>
    <x v="212"/>
    <n v="1109"/>
    <x v="209"/>
    <x v="4"/>
    <s v="New"/>
    <s v="High Profit"/>
    <x v="4"/>
  </r>
  <r>
    <n v="1221"/>
    <s v="24-03-2025"/>
    <x v="1"/>
    <x v="3"/>
    <x v="4"/>
    <s v="Electronics"/>
    <n v="2"/>
    <n v="153"/>
    <x v="213"/>
    <n v="229"/>
    <x v="210"/>
    <x v="1"/>
    <s v="New"/>
    <s v="Low Profit"/>
    <x v="2"/>
  </r>
  <r>
    <n v="1222"/>
    <s v="24-02-2025"/>
    <x v="1"/>
    <x v="1"/>
    <x v="4"/>
    <s v="Electronics"/>
    <n v="7"/>
    <n v="144"/>
    <x v="35"/>
    <n v="685"/>
    <x v="211"/>
    <x v="1"/>
    <s v="Returning"/>
    <s v="High Profit"/>
    <x v="0"/>
  </r>
  <r>
    <n v="1223"/>
    <s v="26-02-2025"/>
    <x v="0"/>
    <x v="0"/>
    <x v="5"/>
    <s v="Accessories"/>
    <n v="8"/>
    <n v="553"/>
    <x v="214"/>
    <n v="3318"/>
    <x v="212"/>
    <x v="1"/>
    <s v="New"/>
    <s v="High Profit"/>
    <x v="0"/>
  </r>
  <r>
    <n v="1224"/>
    <s v="07-01-2025"/>
    <x v="1"/>
    <x v="0"/>
    <x v="2"/>
    <s v="Electronics"/>
    <n v="10"/>
    <n v="792"/>
    <x v="215"/>
    <n v="5306"/>
    <x v="213"/>
    <x v="1"/>
    <s v="Returning"/>
    <s v="High Profit"/>
    <x v="3"/>
  </r>
  <r>
    <n v="1225"/>
    <s v="20-06-2025"/>
    <x v="1"/>
    <x v="1"/>
    <x v="0"/>
    <s v="Electronics"/>
    <n v="2"/>
    <n v="411"/>
    <x v="216"/>
    <n v="583"/>
    <x v="214"/>
    <x v="1"/>
    <s v="New"/>
    <s v="High Profit"/>
    <x v="5"/>
  </r>
  <r>
    <n v="1811"/>
    <s v="22-02-2025"/>
    <x v="3"/>
    <x v="3"/>
    <x v="3"/>
    <s v="Electronics"/>
    <n v="4"/>
    <n v="859"/>
    <x v="217"/>
    <n v="2164"/>
    <x v="203"/>
    <x v="4"/>
    <s v="New"/>
    <s v="High Profit"/>
    <x v="0"/>
  </r>
  <r>
    <n v="1227"/>
    <s v="09-01-2025"/>
    <x v="2"/>
    <x v="0"/>
    <x v="3"/>
    <s v="Electronics"/>
    <n v="5"/>
    <n v="164"/>
    <x v="218"/>
    <n v="533"/>
    <x v="215"/>
    <x v="3"/>
    <s v="New"/>
    <s v="High Profit"/>
    <x v="3"/>
  </r>
  <r>
    <n v="1228"/>
    <s v="28-05-2025"/>
    <x v="2"/>
    <x v="2"/>
    <x v="2"/>
    <s v="Electronics"/>
    <n v="6"/>
    <n v="625"/>
    <x v="219"/>
    <n v="2962"/>
    <x v="216"/>
    <x v="1"/>
    <s v="New"/>
    <s v="High Profit"/>
    <x v="1"/>
  </r>
  <r>
    <n v="1229"/>
    <s v="11-06-2025"/>
    <x v="1"/>
    <x v="0"/>
    <x v="3"/>
    <s v="Electronics"/>
    <n v="1"/>
    <n v="102"/>
    <x v="220"/>
    <n v="68"/>
    <x v="217"/>
    <x v="4"/>
    <s v="New"/>
    <s v="Low Profit"/>
    <x v="5"/>
  </r>
  <r>
    <n v="1230"/>
    <s v="02-06-2025"/>
    <x v="0"/>
    <x v="2"/>
    <x v="5"/>
    <s v="Accessories"/>
    <n v="2"/>
    <n v="588"/>
    <x v="221"/>
    <n v="870"/>
    <x v="218"/>
    <x v="1"/>
    <s v="New"/>
    <s v="High Profit"/>
    <x v="5"/>
  </r>
  <r>
    <n v="1231"/>
    <s v="18-05-2025"/>
    <x v="0"/>
    <x v="2"/>
    <x v="5"/>
    <s v="Accessories"/>
    <n v="3"/>
    <n v="980"/>
    <x v="222"/>
    <n v="2322"/>
    <x v="219"/>
    <x v="3"/>
    <s v="New"/>
    <s v="High Profit"/>
    <x v="1"/>
  </r>
  <r>
    <n v="1619"/>
    <s v="24-03-2025"/>
    <x v="3"/>
    <x v="3"/>
    <x v="2"/>
    <s v="Electronics"/>
    <n v="5"/>
    <n v="903"/>
    <x v="223"/>
    <n v="3250"/>
    <x v="220"/>
    <x v="3"/>
    <s v="New"/>
    <s v="High Profit"/>
    <x v="2"/>
  </r>
  <r>
    <n v="1233"/>
    <s v="26-04-2025"/>
    <x v="0"/>
    <x v="0"/>
    <x v="2"/>
    <s v="Electronics"/>
    <n v="10"/>
    <n v="536"/>
    <x v="224"/>
    <n v="3591"/>
    <x v="106"/>
    <x v="4"/>
    <s v="New"/>
    <s v="High Profit"/>
    <x v="4"/>
  </r>
  <r>
    <n v="1234"/>
    <s v="25-03-2025"/>
    <x v="0"/>
    <x v="1"/>
    <x v="0"/>
    <s v="Electronics"/>
    <n v="9"/>
    <n v="744"/>
    <x v="225"/>
    <n v="4687"/>
    <x v="221"/>
    <x v="0"/>
    <s v="Returning"/>
    <s v="High Profit"/>
    <x v="2"/>
  </r>
  <r>
    <n v="1235"/>
    <s v="27-01-2025"/>
    <x v="0"/>
    <x v="0"/>
    <x v="0"/>
    <s v="Electronics"/>
    <n v="9"/>
    <n v="286"/>
    <x v="226"/>
    <n v="1776"/>
    <x v="222"/>
    <x v="3"/>
    <s v="Returning"/>
    <s v="High Profit"/>
    <x v="3"/>
  </r>
  <r>
    <n v="1236"/>
    <s v="26-01-2025"/>
    <x v="0"/>
    <x v="3"/>
    <x v="4"/>
    <s v="Electronics"/>
    <n v="1"/>
    <n v="882"/>
    <x v="100"/>
    <n v="661"/>
    <x v="223"/>
    <x v="0"/>
    <s v="Returning"/>
    <s v="High Profit"/>
    <x v="3"/>
  </r>
  <r>
    <n v="1237"/>
    <s v="14-01-2025"/>
    <x v="1"/>
    <x v="3"/>
    <x v="4"/>
    <s v="Electronics"/>
    <n v="2"/>
    <n v="945"/>
    <x v="227"/>
    <n v="1417"/>
    <x v="224"/>
    <x v="0"/>
    <s v="Returning"/>
    <s v="High Profit"/>
    <x v="3"/>
  </r>
  <r>
    <n v="1238"/>
    <s v="21-03-2025"/>
    <x v="0"/>
    <x v="1"/>
    <x v="4"/>
    <s v="Electronics"/>
    <n v="5"/>
    <n v="408"/>
    <x v="228"/>
    <n v="1346"/>
    <x v="225"/>
    <x v="2"/>
    <s v="New"/>
    <s v="High Profit"/>
    <x v="2"/>
  </r>
  <r>
    <n v="1239"/>
    <s v="07-05-2025"/>
    <x v="1"/>
    <x v="1"/>
    <x v="0"/>
    <s v="Electronics"/>
    <n v="4"/>
    <n v="184"/>
    <x v="229"/>
    <n v="588"/>
    <x v="226"/>
    <x v="4"/>
    <s v="New"/>
    <s v="Low Profit"/>
    <x v="1"/>
  </r>
  <r>
    <n v="1072"/>
    <s v="29-05-2025"/>
    <x v="3"/>
    <x v="3"/>
    <x v="4"/>
    <s v="Electronics"/>
    <n v="5"/>
    <n v="688"/>
    <x v="230"/>
    <n v="2201"/>
    <x v="227"/>
    <x v="1"/>
    <s v="Returning"/>
    <s v="High Profit"/>
    <x v="1"/>
  </r>
  <r>
    <n v="1241"/>
    <s v="05-03-2025"/>
    <x v="0"/>
    <x v="0"/>
    <x v="0"/>
    <s v="Electronics"/>
    <n v="10"/>
    <n v="606"/>
    <x v="231"/>
    <n v="4726"/>
    <x v="228"/>
    <x v="3"/>
    <s v="New"/>
    <s v="High Profit"/>
    <x v="2"/>
  </r>
  <r>
    <n v="1817"/>
    <s v="06-04-2025"/>
    <x v="3"/>
    <x v="1"/>
    <x v="0"/>
    <s v="Electronics"/>
    <n v="6"/>
    <n v="931"/>
    <x v="232"/>
    <n v="4357"/>
    <x v="229"/>
    <x v="3"/>
    <s v="Returning"/>
    <s v="High Profit"/>
    <x v="4"/>
  </r>
  <r>
    <n v="1243"/>
    <s v="16-06-2025"/>
    <x v="1"/>
    <x v="0"/>
    <x v="4"/>
    <s v="Electronics"/>
    <n v="9"/>
    <n v="322"/>
    <x v="233"/>
    <n v="1970"/>
    <x v="230"/>
    <x v="2"/>
    <s v="Returning"/>
    <s v="High Profit"/>
    <x v="5"/>
  </r>
  <r>
    <n v="1008"/>
    <s v="27-03-2025"/>
    <x v="3"/>
    <x v="3"/>
    <x v="3"/>
    <s v="Electronics"/>
    <n v="6"/>
    <n v="618"/>
    <x v="234"/>
    <n v="2484"/>
    <x v="231"/>
    <x v="0"/>
    <s v="New"/>
    <s v="High Profit"/>
    <x v="2"/>
  </r>
  <r>
    <n v="1245"/>
    <s v="26-05-2025"/>
    <x v="2"/>
    <x v="2"/>
    <x v="4"/>
    <s v="Electronics"/>
    <n v="4"/>
    <n v="789"/>
    <x v="235"/>
    <n v="2493"/>
    <x v="232"/>
    <x v="2"/>
    <s v="Returning"/>
    <s v="High Profit"/>
    <x v="1"/>
  </r>
  <r>
    <n v="1246"/>
    <s v="15-03-2025"/>
    <x v="1"/>
    <x v="2"/>
    <x v="0"/>
    <s v="Electronics"/>
    <n v="2"/>
    <n v="585"/>
    <x v="236"/>
    <n v="912"/>
    <x v="233"/>
    <x v="2"/>
    <s v="New"/>
    <s v="High Profit"/>
    <x v="2"/>
  </r>
  <r>
    <n v="1247"/>
    <s v="28-01-2025"/>
    <x v="2"/>
    <x v="3"/>
    <x v="1"/>
    <s v="Accessories"/>
    <n v="1"/>
    <n v="937"/>
    <x v="237"/>
    <n v="665"/>
    <x v="234"/>
    <x v="2"/>
    <s v="Returning"/>
    <s v="High Profit"/>
    <x v="3"/>
  </r>
  <r>
    <n v="1248"/>
    <s v="23-05-2025"/>
    <x v="2"/>
    <x v="3"/>
    <x v="3"/>
    <s v="Electronics"/>
    <n v="9"/>
    <n v="948"/>
    <x v="238"/>
    <n v="6399"/>
    <x v="235"/>
    <x v="4"/>
    <s v="New"/>
    <s v="High Profit"/>
    <x v="1"/>
  </r>
  <r>
    <n v="1249"/>
    <s v="08-04-2025"/>
    <x v="2"/>
    <x v="3"/>
    <x v="2"/>
    <s v="Electronics"/>
    <n v="5"/>
    <n v="835"/>
    <x v="178"/>
    <n v="2588"/>
    <x v="236"/>
    <x v="3"/>
    <s v="Returning"/>
    <s v="High Profit"/>
    <x v="4"/>
  </r>
  <r>
    <n v="1250"/>
    <s v="20-05-2025"/>
    <x v="1"/>
    <x v="1"/>
    <x v="4"/>
    <s v="Electronics"/>
    <n v="7"/>
    <n v="489"/>
    <x v="239"/>
    <n v="2704"/>
    <x v="237"/>
    <x v="1"/>
    <s v="New"/>
    <s v="High Profit"/>
    <x v="1"/>
  </r>
  <r>
    <n v="1251"/>
    <s v="03-01-2025"/>
    <x v="2"/>
    <x v="0"/>
    <x v="3"/>
    <s v="Electronics"/>
    <n v="9"/>
    <n v="512"/>
    <x v="240"/>
    <n v="3041"/>
    <x v="238"/>
    <x v="4"/>
    <s v="New"/>
    <s v="High Profit"/>
    <x v="3"/>
  </r>
  <r>
    <n v="1161"/>
    <s v="22-04-2025"/>
    <x v="3"/>
    <x v="0"/>
    <x v="0"/>
    <s v="Electronics"/>
    <n v="4"/>
    <n v="829"/>
    <x v="18"/>
    <n v="2122"/>
    <x v="239"/>
    <x v="1"/>
    <s v="New"/>
    <s v="High Profit"/>
    <x v="4"/>
  </r>
  <r>
    <n v="1253"/>
    <s v="15-03-2025"/>
    <x v="1"/>
    <x v="3"/>
    <x v="3"/>
    <s v="Electronics"/>
    <n v="10"/>
    <n v="73"/>
    <x v="241"/>
    <n v="569"/>
    <x v="240"/>
    <x v="1"/>
    <s v="Returning"/>
    <s v="Low Profit"/>
    <x v="2"/>
  </r>
  <r>
    <n v="1254"/>
    <s v="05-03-2025"/>
    <x v="2"/>
    <x v="3"/>
    <x v="1"/>
    <s v="Accessories"/>
    <n v="7"/>
    <n v="988"/>
    <x v="242"/>
    <n v="4841"/>
    <x v="241"/>
    <x v="4"/>
    <s v="New"/>
    <s v="High Profit"/>
    <x v="2"/>
  </r>
  <r>
    <n v="1255"/>
    <s v="31-03-2025"/>
    <x v="3"/>
    <x v="2"/>
    <x v="5"/>
    <s v="Accessories"/>
    <n v="8"/>
    <n v="380"/>
    <x v="243"/>
    <n v="2280"/>
    <x v="242"/>
    <x v="0"/>
    <s v="New"/>
    <s v="High Profit"/>
    <x v="2"/>
  </r>
  <r>
    <n v="1256"/>
    <s v="03-02-2025"/>
    <x v="2"/>
    <x v="2"/>
    <x v="4"/>
    <s v="Electronics"/>
    <n v="9"/>
    <n v="561"/>
    <x v="244"/>
    <n v="3786"/>
    <x v="243"/>
    <x v="3"/>
    <s v="New"/>
    <s v="High Profit"/>
    <x v="0"/>
  </r>
  <r>
    <n v="1257"/>
    <s v="12-01-2025"/>
    <x v="1"/>
    <x v="2"/>
    <x v="1"/>
    <s v="Accessories"/>
    <n v="5"/>
    <n v="69"/>
    <x v="245"/>
    <n v="251"/>
    <x v="244"/>
    <x v="3"/>
    <s v="New"/>
    <s v="Low Profit"/>
    <x v="3"/>
  </r>
  <r>
    <n v="1993"/>
    <s v="26-03-2025"/>
    <x v="3"/>
    <x v="1"/>
    <x v="2"/>
    <s v="Electronics"/>
    <n v="4"/>
    <n v="950"/>
    <x v="246"/>
    <n v="2698"/>
    <x v="245"/>
    <x v="4"/>
    <s v="Returning"/>
    <s v="High Profit"/>
    <x v="2"/>
  </r>
  <r>
    <n v="1259"/>
    <s v="29-05-2025"/>
    <x v="3"/>
    <x v="1"/>
    <x v="1"/>
    <s v="Accessories"/>
    <n v="9"/>
    <n v="809"/>
    <x v="247"/>
    <n v="4368"/>
    <x v="246"/>
    <x v="2"/>
    <s v="Returning"/>
    <s v="High Profit"/>
    <x v="1"/>
  </r>
  <r>
    <n v="1260"/>
    <s v="14-03-2025"/>
    <x v="2"/>
    <x v="0"/>
    <x v="3"/>
    <s v="Electronics"/>
    <n v="10"/>
    <n v="893"/>
    <x v="248"/>
    <n v="6697"/>
    <x v="247"/>
    <x v="2"/>
    <s v="New"/>
    <s v="High Profit"/>
    <x v="2"/>
  </r>
  <r>
    <n v="1261"/>
    <s v="06-04-2025"/>
    <x v="1"/>
    <x v="3"/>
    <x v="2"/>
    <s v="Electronics"/>
    <n v="8"/>
    <n v="659"/>
    <x v="249"/>
    <n v="3163"/>
    <x v="248"/>
    <x v="0"/>
    <s v="New"/>
    <s v="High Profit"/>
    <x v="4"/>
  </r>
  <r>
    <n v="1262"/>
    <s v="17-02-2025"/>
    <x v="2"/>
    <x v="2"/>
    <x v="5"/>
    <s v="Accessories"/>
    <n v="8"/>
    <n v="788"/>
    <x v="250"/>
    <n v="4917"/>
    <x v="249"/>
    <x v="3"/>
    <s v="New"/>
    <s v="High Profit"/>
    <x v="0"/>
  </r>
  <r>
    <n v="1263"/>
    <s v="29-03-2025"/>
    <x v="3"/>
    <x v="0"/>
    <x v="5"/>
    <s v="Accessories"/>
    <n v="3"/>
    <n v="945"/>
    <x v="251"/>
    <n v="1786"/>
    <x v="250"/>
    <x v="4"/>
    <s v="New"/>
    <s v="High Profit"/>
    <x v="2"/>
  </r>
  <r>
    <n v="1264"/>
    <s v="06-05-2025"/>
    <x v="2"/>
    <x v="3"/>
    <x v="0"/>
    <s v="Electronics"/>
    <n v="4"/>
    <n v="170"/>
    <x v="252"/>
    <n v="530"/>
    <x v="251"/>
    <x v="2"/>
    <s v="Returning"/>
    <s v="Low Profit"/>
    <x v="1"/>
  </r>
  <r>
    <n v="1265"/>
    <s v="11-03-2025"/>
    <x v="1"/>
    <x v="2"/>
    <x v="5"/>
    <s v="Accessories"/>
    <n v="5"/>
    <n v="692"/>
    <x v="253"/>
    <n v="2560"/>
    <x v="252"/>
    <x v="0"/>
    <s v="Returning"/>
    <s v="High Profit"/>
    <x v="2"/>
  </r>
  <r>
    <n v="1266"/>
    <s v="06-01-2025"/>
    <x v="1"/>
    <x v="3"/>
    <x v="4"/>
    <s v="Electronics"/>
    <n v="5"/>
    <n v="667"/>
    <x v="254"/>
    <n v="2067"/>
    <x v="253"/>
    <x v="0"/>
    <s v="New"/>
    <s v="High Profit"/>
    <x v="3"/>
  </r>
  <r>
    <n v="1267"/>
    <s v="10-02-2025"/>
    <x v="1"/>
    <x v="0"/>
    <x v="4"/>
    <s v="Electronics"/>
    <n v="9"/>
    <n v="118"/>
    <x v="255"/>
    <n v="711"/>
    <x v="254"/>
    <x v="3"/>
    <s v="Returning"/>
    <s v="High Profit"/>
    <x v="0"/>
  </r>
  <r>
    <n v="1101"/>
    <s v="25-04-2025"/>
    <x v="3"/>
    <x v="2"/>
    <x v="4"/>
    <s v="Electronics"/>
    <n v="4"/>
    <n v="920"/>
    <x v="256"/>
    <n v="2612"/>
    <x v="255"/>
    <x v="2"/>
    <s v="New"/>
    <s v="High Profit"/>
    <x v="4"/>
  </r>
  <r>
    <n v="1269"/>
    <s v="06-02-2025"/>
    <x v="3"/>
    <x v="1"/>
    <x v="5"/>
    <s v="Accessories"/>
    <n v="6"/>
    <n v="318"/>
    <x v="257"/>
    <n v="1202"/>
    <x v="256"/>
    <x v="4"/>
    <s v="Returning"/>
    <s v="High Profit"/>
    <x v="0"/>
  </r>
  <r>
    <n v="1270"/>
    <s v="18-03-2025"/>
    <x v="0"/>
    <x v="1"/>
    <x v="2"/>
    <s v="Electronics"/>
    <n v="5"/>
    <n v="630"/>
    <x v="258"/>
    <n v="1953"/>
    <x v="257"/>
    <x v="3"/>
    <s v="Returning"/>
    <s v="High Profit"/>
    <x v="2"/>
  </r>
  <r>
    <n v="1271"/>
    <s v="01-04-2025"/>
    <x v="0"/>
    <x v="2"/>
    <x v="1"/>
    <s v="Accessories"/>
    <n v="8"/>
    <n v="994"/>
    <x v="259"/>
    <n v="5804"/>
    <x v="258"/>
    <x v="3"/>
    <s v="Returning"/>
    <s v="High Profit"/>
    <x v="4"/>
  </r>
  <r>
    <n v="1272"/>
    <s v="18-01-2025"/>
    <x v="0"/>
    <x v="3"/>
    <x v="2"/>
    <s v="Electronics"/>
    <n v="9"/>
    <n v="864"/>
    <x v="260"/>
    <n v="6065"/>
    <x v="259"/>
    <x v="3"/>
    <s v="New"/>
    <s v="High Profit"/>
    <x v="3"/>
  </r>
  <r>
    <n v="1655"/>
    <s v="13-04-2025"/>
    <x v="3"/>
    <x v="0"/>
    <x v="3"/>
    <s v="Electronics"/>
    <n v="9"/>
    <n v="370"/>
    <x v="261"/>
    <n v="2297"/>
    <x v="260"/>
    <x v="3"/>
    <s v="Returning"/>
    <s v="High Profit"/>
    <x v="4"/>
  </r>
  <r>
    <n v="1274"/>
    <s v="25-02-2025"/>
    <x v="1"/>
    <x v="2"/>
    <x v="5"/>
    <s v="Accessories"/>
    <n v="8"/>
    <n v="919"/>
    <x v="262"/>
    <n v="5881"/>
    <x v="261"/>
    <x v="4"/>
    <s v="New"/>
    <s v="High Profit"/>
    <x v="0"/>
  </r>
  <r>
    <n v="1275"/>
    <s v="24-02-2025"/>
    <x v="3"/>
    <x v="1"/>
    <x v="1"/>
    <s v="Accessories"/>
    <n v="2"/>
    <n v="511"/>
    <x v="263"/>
    <n v="633"/>
    <x v="262"/>
    <x v="1"/>
    <s v="New"/>
    <s v="High Profit"/>
    <x v="0"/>
  </r>
  <r>
    <n v="1276"/>
    <s v="02-05-2025"/>
    <x v="0"/>
    <x v="0"/>
    <x v="4"/>
    <s v="Electronics"/>
    <n v="1"/>
    <n v="752"/>
    <x v="264"/>
    <n v="496"/>
    <x v="263"/>
    <x v="1"/>
    <s v="New"/>
    <s v="High Profit"/>
    <x v="1"/>
  </r>
  <r>
    <n v="1277"/>
    <s v="27-03-2025"/>
    <x v="3"/>
    <x v="3"/>
    <x v="1"/>
    <s v="Accessories"/>
    <n v="4"/>
    <n v="282"/>
    <x v="265"/>
    <n v="902"/>
    <x v="264"/>
    <x v="1"/>
    <s v="Returning"/>
    <s v="High Profit"/>
    <x v="2"/>
  </r>
  <r>
    <n v="1278"/>
    <s v="17-04-2025"/>
    <x v="3"/>
    <x v="0"/>
    <x v="1"/>
    <s v="Accessories"/>
    <n v="1"/>
    <n v="194"/>
    <x v="266"/>
    <n v="143"/>
    <x v="265"/>
    <x v="4"/>
    <s v="New"/>
    <s v="Low Profit"/>
    <x v="4"/>
  </r>
  <r>
    <n v="1426"/>
    <s v="25-01-2025"/>
    <x v="3"/>
    <x v="2"/>
    <x v="3"/>
    <s v="Electronics"/>
    <n v="6"/>
    <n v="637"/>
    <x v="267"/>
    <n v="2790"/>
    <x v="266"/>
    <x v="2"/>
    <s v="New"/>
    <s v="High Profit"/>
    <x v="3"/>
  </r>
  <r>
    <n v="1379"/>
    <s v="18-02-2025"/>
    <x v="3"/>
    <x v="2"/>
    <x v="4"/>
    <s v="Electronics"/>
    <n v="5"/>
    <n v="718"/>
    <x v="268"/>
    <n v="2584"/>
    <x v="267"/>
    <x v="1"/>
    <s v="Returning"/>
    <s v="High Profit"/>
    <x v="0"/>
  </r>
  <r>
    <n v="1281"/>
    <s v="16-01-2025"/>
    <x v="3"/>
    <x v="3"/>
    <x v="1"/>
    <s v="Accessories"/>
    <n v="10"/>
    <n v="395"/>
    <x v="269"/>
    <n v="2528"/>
    <x v="268"/>
    <x v="3"/>
    <s v="Returning"/>
    <s v="High Profit"/>
    <x v="3"/>
  </r>
  <r>
    <n v="1282"/>
    <s v="28-03-2025"/>
    <x v="2"/>
    <x v="0"/>
    <x v="3"/>
    <s v="Electronics"/>
    <n v="2"/>
    <n v="256"/>
    <x v="270"/>
    <n v="368"/>
    <x v="269"/>
    <x v="1"/>
    <s v="New"/>
    <s v="Low Profit"/>
    <x v="2"/>
  </r>
  <r>
    <n v="1283"/>
    <s v="14-01-2025"/>
    <x v="1"/>
    <x v="1"/>
    <x v="5"/>
    <s v="Accessories"/>
    <n v="10"/>
    <n v="916"/>
    <x v="271"/>
    <n v="5862"/>
    <x v="270"/>
    <x v="3"/>
    <s v="New"/>
    <s v="High Profit"/>
    <x v="3"/>
  </r>
  <r>
    <n v="1284"/>
    <s v="02-05-2025"/>
    <x v="0"/>
    <x v="2"/>
    <x v="4"/>
    <s v="Electronics"/>
    <n v="7"/>
    <n v="333"/>
    <x v="272"/>
    <n v="1771"/>
    <x v="37"/>
    <x v="2"/>
    <s v="New"/>
    <s v="High Profit"/>
    <x v="1"/>
  </r>
  <r>
    <n v="1285"/>
    <s v="10-02-2025"/>
    <x v="2"/>
    <x v="3"/>
    <x v="3"/>
    <s v="Electronics"/>
    <n v="6"/>
    <n v="236"/>
    <x v="273"/>
    <n v="1033"/>
    <x v="271"/>
    <x v="3"/>
    <s v="Returning"/>
    <s v="High Profit"/>
    <x v="0"/>
  </r>
  <r>
    <n v="1286"/>
    <s v="12-01-2025"/>
    <x v="3"/>
    <x v="0"/>
    <x v="5"/>
    <s v="Accessories"/>
    <n v="1"/>
    <n v="882"/>
    <x v="100"/>
    <n v="661"/>
    <x v="223"/>
    <x v="3"/>
    <s v="New"/>
    <s v="High Profit"/>
    <x v="3"/>
  </r>
  <r>
    <n v="1287"/>
    <s v="28-01-2025"/>
    <x v="2"/>
    <x v="0"/>
    <x v="3"/>
    <s v="Electronics"/>
    <n v="2"/>
    <n v="441"/>
    <x v="100"/>
    <n v="599"/>
    <x v="100"/>
    <x v="2"/>
    <s v="Returning"/>
    <s v="High Profit"/>
    <x v="3"/>
  </r>
  <r>
    <n v="1288"/>
    <s v="28-06-2025"/>
    <x v="2"/>
    <x v="3"/>
    <x v="1"/>
    <s v="Accessories"/>
    <n v="6"/>
    <n v="302"/>
    <x v="274"/>
    <n v="1141"/>
    <x v="272"/>
    <x v="4"/>
    <s v="New"/>
    <s v="High Profit"/>
    <x v="5"/>
  </r>
  <r>
    <n v="1050"/>
    <s v="01-06-2025"/>
    <x v="3"/>
    <x v="2"/>
    <x v="4"/>
    <s v="Electronics"/>
    <n v="4"/>
    <n v="900"/>
    <x v="275"/>
    <n v="2628"/>
    <x v="273"/>
    <x v="0"/>
    <s v="New"/>
    <s v="High Profit"/>
    <x v="5"/>
  </r>
  <r>
    <n v="1290"/>
    <s v="23-02-2025"/>
    <x v="2"/>
    <x v="3"/>
    <x v="1"/>
    <s v="Accessories"/>
    <n v="1"/>
    <n v="632"/>
    <x v="276"/>
    <n v="423"/>
    <x v="274"/>
    <x v="3"/>
    <s v="New"/>
    <s v="High Profit"/>
    <x v="0"/>
  </r>
  <r>
    <n v="1252"/>
    <s v="13-01-2025"/>
    <x v="3"/>
    <x v="3"/>
    <x v="4"/>
    <s v="Electronics"/>
    <n v="10"/>
    <n v="449"/>
    <x v="277"/>
    <n v="3547"/>
    <x v="275"/>
    <x v="0"/>
    <s v="Returning"/>
    <s v="High Profit"/>
    <x v="3"/>
  </r>
  <r>
    <n v="1617"/>
    <s v="30-06-2025"/>
    <x v="3"/>
    <x v="0"/>
    <x v="3"/>
    <s v="Electronics"/>
    <n v="4"/>
    <n v="940"/>
    <x v="278"/>
    <n v="2820"/>
    <x v="276"/>
    <x v="3"/>
    <s v="New"/>
    <s v="High Profit"/>
    <x v="5"/>
  </r>
  <r>
    <n v="1293"/>
    <s v="01-06-2025"/>
    <x v="1"/>
    <x v="1"/>
    <x v="0"/>
    <s v="Electronics"/>
    <n v="5"/>
    <n v="577"/>
    <x v="279"/>
    <n v="2308"/>
    <x v="277"/>
    <x v="1"/>
    <s v="Returning"/>
    <s v="High Profit"/>
    <x v="5"/>
  </r>
  <r>
    <n v="1294"/>
    <s v="05-05-2025"/>
    <x v="2"/>
    <x v="1"/>
    <x v="3"/>
    <s v="Electronics"/>
    <n v="7"/>
    <n v="926"/>
    <x v="280"/>
    <n v="4731"/>
    <x v="278"/>
    <x v="4"/>
    <s v="Returning"/>
    <s v="High Profit"/>
    <x v="1"/>
  </r>
  <r>
    <n v="1295"/>
    <s v="12-04-2025"/>
    <x v="2"/>
    <x v="2"/>
    <x v="2"/>
    <s v="Electronics"/>
    <n v="2"/>
    <n v="256"/>
    <x v="270"/>
    <n v="307"/>
    <x v="279"/>
    <x v="3"/>
    <s v="New"/>
    <s v="High Profit"/>
    <x v="4"/>
  </r>
  <r>
    <n v="1296"/>
    <s v="30-03-2025"/>
    <x v="3"/>
    <x v="1"/>
    <x v="1"/>
    <s v="Accessories"/>
    <n v="2"/>
    <n v="886"/>
    <x v="281"/>
    <n v="1417"/>
    <x v="280"/>
    <x v="1"/>
    <s v="New"/>
    <s v="High Profit"/>
    <x v="2"/>
  </r>
  <r>
    <n v="1297"/>
    <s v="06-03-2025"/>
    <x v="2"/>
    <x v="2"/>
    <x v="5"/>
    <s v="Accessories"/>
    <n v="7"/>
    <n v="343"/>
    <x v="282"/>
    <n v="1608"/>
    <x v="281"/>
    <x v="0"/>
    <s v="Returning"/>
    <s v="High Profit"/>
    <x v="2"/>
  </r>
  <r>
    <n v="1637"/>
    <s v="16-04-2025"/>
    <x v="3"/>
    <x v="0"/>
    <x v="2"/>
    <s v="Electronics"/>
    <n v="5"/>
    <n v="780"/>
    <x v="283"/>
    <n v="2964"/>
    <x v="282"/>
    <x v="3"/>
    <s v="Returning"/>
    <s v="High Profit"/>
    <x v="4"/>
  </r>
  <r>
    <n v="1299"/>
    <s v="29-04-2025"/>
    <x v="0"/>
    <x v="1"/>
    <x v="5"/>
    <s v="Accessories"/>
    <n v="8"/>
    <n v="804"/>
    <x v="284"/>
    <n v="4180"/>
    <x v="283"/>
    <x v="1"/>
    <s v="New"/>
    <s v="High Profit"/>
    <x v="4"/>
  </r>
  <r>
    <n v="1300"/>
    <s v="04-01-2025"/>
    <x v="0"/>
    <x v="0"/>
    <x v="2"/>
    <s v="Electronics"/>
    <n v="2"/>
    <n v="621"/>
    <x v="285"/>
    <n v="956"/>
    <x v="284"/>
    <x v="3"/>
    <s v="Returning"/>
    <s v="High Profit"/>
    <x v="3"/>
  </r>
  <r>
    <n v="1301"/>
    <s v="24-02-2025"/>
    <x v="0"/>
    <x v="3"/>
    <x v="2"/>
    <s v="Electronics"/>
    <n v="9"/>
    <n v="488"/>
    <x v="286"/>
    <n v="2679"/>
    <x v="285"/>
    <x v="3"/>
    <s v="New"/>
    <s v="High Profit"/>
    <x v="0"/>
  </r>
  <r>
    <n v="1302"/>
    <s v="23-02-2025"/>
    <x v="1"/>
    <x v="2"/>
    <x v="1"/>
    <s v="Accessories"/>
    <n v="2"/>
    <n v="114"/>
    <x v="287"/>
    <n v="161"/>
    <x v="286"/>
    <x v="3"/>
    <s v="New"/>
    <s v="Low Profit"/>
    <x v="0"/>
  </r>
  <r>
    <n v="1303"/>
    <s v="05-02-2025"/>
    <x v="1"/>
    <x v="2"/>
    <x v="3"/>
    <s v="Electronics"/>
    <n v="8"/>
    <n v="672"/>
    <x v="288"/>
    <n v="3655"/>
    <x v="287"/>
    <x v="0"/>
    <s v="New"/>
    <s v="High Profit"/>
    <x v="0"/>
  </r>
  <r>
    <n v="1304"/>
    <s v="21-01-2025"/>
    <x v="2"/>
    <x v="1"/>
    <x v="2"/>
    <s v="Electronics"/>
    <n v="10"/>
    <n v="502"/>
    <x v="289"/>
    <n v="3664"/>
    <x v="288"/>
    <x v="1"/>
    <s v="Returning"/>
    <s v="High Profit"/>
    <x v="3"/>
  </r>
  <r>
    <n v="1305"/>
    <s v="16-05-2025"/>
    <x v="2"/>
    <x v="2"/>
    <x v="0"/>
    <s v="Electronics"/>
    <n v="8"/>
    <n v="743"/>
    <x v="290"/>
    <n v="4636"/>
    <x v="289"/>
    <x v="1"/>
    <s v="Returning"/>
    <s v="High Profit"/>
    <x v="1"/>
  </r>
  <r>
    <n v="1306"/>
    <s v="11-04-2025"/>
    <x v="2"/>
    <x v="0"/>
    <x v="0"/>
    <s v="Electronics"/>
    <n v="2"/>
    <n v="284"/>
    <x v="291"/>
    <n v="403"/>
    <x v="155"/>
    <x v="4"/>
    <s v="New"/>
    <s v="Low Profit"/>
    <x v="4"/>
  </r>
  <r>
    <n v="1307"/>
    <s v="22-04-2025"/>
    <x v="2"/>
    <x v="0"/>
    <x v="3"/>
    <s v="Electronics"/>
    <n v="10"/>
    <n v="924"/>
    <x v="292"/>
    <n v="7207"/>
    <x v="290"/>
    <x v="3"/>
    <s v="New"/>
    <s v="High Profit"/>
    <x v="4"/>
  </r>
  <r>
    <n v="1106"/>
    <s v="19-06-2025"/>
    <x v="3"/>
    <x v="3"/>
    <x v="3"/>
    <s v="Electronics"/>
    <n v="9"/>
    <n v="305"/>
    <x v="293"/>
    <n v="1811"/>
    <x v="291"/>
    <x v="1"/>
    <s v="New"/>
    <s v="High Profit"/>
    <x v="5"/>
  </r>
  <r>
    <n v="1309"/>
    <s v="15-06-2025"/>
    <x v="2"/>
    <x v="1"/>
    <x v="4"/>
    <s v="Electronics"/>
    <n v="5"/>
    <n v="133"/>
    <x v="294"/>
    <n v="405"/>
    <x v="292"/>
    <x v="3"/>
    <s v="Returning"/>
    <s v="High Profit"/>
    <x v="5"/>
  </r>
  <r>
    <n v="1310"/>
    <s v="17-04-2025"/>
    <x v="2"/>
    <x v="2"/>
    <x v="4"/>
    <s v="Electronics"/>
    <n v="7"/>
    <n v="969"/>
    <x v="295"/>
    <n v="4069"/>
    <x v="293"/>
    <x v="0"/>
    <s v="Returning"/>
    <s v="High Profit"/>
    <x v="4"/>
  </r>
  <r>
    <n v="1311"/>
    <s v="21-06-2025"/>
    <x v="1"/>
    <x v="2"/>
    <x v="4"/>
    <s v="Electronics"/>
    <n v="10"/>
    <n v="993"/>
    <x v="296"/>
    <n v="6653"/>
    <x v="186"/>
    <x v="4"/>
    <s v="Returning"/>
    <s v="High Profit"/>
    <x v="5"/>
  </r>
  <r>
    <n v="1312"/>
    <s v="21-02-2025"/>
    <x v="3"/>
    <x v="0"/>
    <x v="1"/>
    <s v="Accessories"/>
    <n v="6"/>
    <n v="822"/>
    <x v="297"/>
    <n v="3501"/>
    <x v="294"/>
    <x v="0"/>
    <s v="New"/>
    <s v="High Profit"/>
    <x v="0"/>
  </r>
  <r>
    <n v="1313"/>
    <s v="28-03-2025"/>
    <x v="3"/>
    <x v="1"/>
    <x v="5"/>
    <s v="Accessories"/>
    <n v="7"/>
    <n v="885"/>
    <x v="298"/>
    <n v="4894"/>
    <x v="295"/>
    <x v="2"/>
    <s v="New"/>
    <s v="High Profit"/>
    <x v="2"/>
  </r>
  <r>
    <n v="1314"/>
    <s v="23-04-2025"/>
    <x v="2"/>
    <x v="2"/>
    <x v="0"/>
    <s v="Electronics"/>
    <n v="6"/>
    <n v="208"/>
    <x v="299"/>
    <n v="786"/>
    <x v="296"/>
    <x v="0"/>
    <s v="Returning"/>
    <s v="High Profit"/>
    <x v="4"/>
  </r>
  <r>
    <n v="1315"/>
    <s v="12-05-2025"/>
    <x v="2"/>
    <x v="1"/>
    <x v="0"/>
    <s v="Electronics"/>
    <n v="5"/>
    <n v="814"/>
    <x v="300"/>
    <n v="2442"/>
    <x v="297"/>
    <x v="3"/>
    <s v="New"/>
    <s v="High Profit"/>
    <x v="1"/>
  </r>
  <r>
    <n v="1752"/>
    <s v="24-01-2025"/>
    <x v="3"/>
    <x v="0"/>
    <x v="3"/>
    <s v="Electronics"/>
    <n v="10"/>
    <n v="361"/>
    <x v="301"/>
    <n v="2707"/>
    <x v="298"/>
    <x v="4"/>
    <s v="New"/>
    <s v="High Profit"/>
    <x v="3"/>
  </r>
  <r>
    <n v="1172"/>
    <s v="09-02-2025"/>
    <x v="3"/>
    <x v="0"/>
    <x v="2"/>
    <s v="Electronics"/>
    <n v="3"/>
    <n v="984"/>
    <x v="302"/>
    <n v="2066"/>
    <x v="299"/>
    <x v="3"/>
    <s v="New"/>
    <s v="High Profit"/>
    <x v="0"/>
  </r>
  <r>
    <n v="1318"/>
    <s v="21-06-2025"/>
    <x v="1"/>
    <x v="2"/>
    <x v="3"/>
    <s v="Electronics"/>
    <n v="4"/>
    <n v="297"/>
    <x v="303"/>
    <n v="867"/>
    <x v="1"/>
    <x v="3"/>
    <s v="Returning"/>
    <s v="High Profit"/>
    <x v="5"/>
  </r>
  <r>
    <n v="1319"/>
    <s v="27-04-2025"/>
    <x v="0"/>
    <x v="0"/>
    <x v="3"/>
    <s v="Electronics"/>
    <n v="9"/>
    <n v="79"/>
    <x v="304"/>
    <n v="533"/>
    <x v="300"/>
    <x v="4"/>
    <s v="Returning"/>
    <s v="Low Profit"/>
    <x v="4"/>
  </r>
  <r>
    <n v="1320"/>
    <s v="26-01-2025"/>
    <x v="1"/>
    <x v="1"/>
    <x v="4"/>
    <s v="Electronics"/>
    <n v="1"/>
    <n v="400"/>
    <x v="305"/>
    <n v="240"/>
    <x v="129"/>
    <x v="1"/>
    <s v="New"/>
    <s v="Low Profit"/>
    <x v="3"/>
  </r>
  <r>
    <n v="1321"/>
    <s v="31-05-2025"/>
    <x v="2"/>
    <x v="3"/>
    <x v="2"/>
    <s v="Electronics"/>
    <n v="2"/>
    <n v="640"/>
    <x v="306"/>
    <n v="960"/>
    <x v="301"/>
    <x v="2"/>
    <s v="New"/>
    <s v="High Profit"/>
    <x v="1"/>
  </r>
  <r>
    <n v="1322"/>
    <s v="12-03-2025"/>
    <x v="1"/>
    <x v="2"/>
    <x v="0"/>
    <s v="Electronics"/>
    <n v="7"/>
    <n v="208"/>
    <x v="307"/>
    <n v="1004"/>
    <x v="28"/>
    <x v="1"/>
    <s v="New"/>
    <s v="High Profit"/>
    <x v="2"/>
  </r>
  <r>
    <n v="1323"/>
    <s v="04-05-2025"/>
    <x v="0"/>
    <x v="1"/>
    <x v="5"/>
    <s v="Accessories"/>
    <n v="7"/>
    <n v="427"/>
    <x v="308"/>
    <n v="1942"/>
    <x v="302"/>
    <x v="3"/>
    <s v="Returning"/>
    <s v="High Profit"/>
    <x v="1"/>
  </r>
  <r>
    <n v="1324"/>
    <s v="24-05-2025"/>
    <x v="1"/>
    <x v="1"/>
    <x v="4"/>
    <s v="Electronics"/>
    <n v="5"/>
    <n v="238"/>
    <x v="111"/>
    <n v="749"/>
    <x v="303"/>
    <x v="0"/>
    <s v="Returning"/>
    <s v="High Profit"/>
    <x v="1"/>
  </r>
  <r>
    <n v="1325"/>
    <s v="12-04-2025"/>
    <x v="0"/>
    <x v="3"/>
    <x v="4"/>
    <s v="Electronics"/>
    <n v="4"/>
    <n v="489"/>
    <x v="309"/>
    <n v="1506"/>
    <x v="304"/>
    <x v="1"/>
    <s v="Returning"/>
    <s v="High Profit"/>
    <x v="4"/>
  </r>
  <r>
    <n v="1326"/>
    <s v="09-06-2025"/>
    <x v="2"/>
    <x v="0"/>
    <x v="5"/>
    <s v="Accessories"/>
    <n v="1"/>
    <n v="365"/>
    <x v="310"/>
    <n v="229"/>
    <x v="305"/>
    <x v="2"/>
    <s v="New"/>
    <s v="Low Profit"/>
    <x v="5"/>
  </r>
  <r>
    <n v="1327"/>
    <s v="13-05-2025"/>
    <x v="1"/>
    <x v="2"/>
    <x v="4"/>
    <s v="Electronics"/>
    <n v="10"/>
    <n v="58"/>
    <x v="311"/>
    <n v="429"/>
    <x v="306"/>
    <x v="2"/>
    <s v="New"/>
    <s v="Low Profit"/>
    <x v="1"/>
  </r>
  <r>
    <n v="1328"/>
    <s v="30-03-2025"/>
    <x v="2"/>
    <x v="3"/>
    <x v="5"/>
    <s v="Accessories"/>
    <n v="4"/>
    <n v="93"/>
    <x v="312"/>
    <n v="252"/>
    <x v="307"/>
    <x v="1"/>
    <s v="Returning"/>
    <s v="Low Profit"/>
    <x v="2"/>
  </r>
  <r>
    <n v="1329"/>
    <s v="01-03-2025"/>
    <x v="2"/>
    <x v="1"/>
    <x v="4"/>
    <s v="Electronics"/>
    <n v="6"/>
    <n v="584"/>
    <x v="313"/>
    <n v="2382"/>
    <x v="308"/>
    <x v="4"/>
    <s v="New"/>
    <s v="High Profit"/>
    <x v="2"/>
  </r>
  <r>
    <n v="1330"/>
    <s v="20-01-2025"/>
    <x v="2"/>
    <x v="1"/>
    <x v="0"/>
    <s v="Electronics"/>
    <n v="1"/>
    <n v="661"/>
    <x v="314"/>
    <n v="528"/>
    <x v="309"/>
    <x v="2"/>
    <s v="New"/>
    <s v="Low Profit"/>
    <x v="3"/>
  </r>
  <r>
    <n v="1331"/>
    <s v="05-05-2025"/>
    <x v="1"/>
    <x v="0"/>
    <x v="4"/>
    <s v="Electronics"/>
    <n v="2"/>
    <n v="712"/>
    <x v="315"/>
    <n v="1011"/>
    <x v="310"/>
    <x v="3"/>
    <s v="New"/>
    <s v="High Profit"/>
    <x v="1"/>
  </r>
  <r>
    <n v="1332"/>
    <s v="08-04-2025"/>
    <x v="2"/>
    <x v="1"/>
    <x v="1"/>
    <s v="Accessories"/>
    <n v="5"/>
    <n v="695"/>
    <x v="316"/>
    <n v="2571"/>
    <x v="311"/>
    <x v="3"/>
    <s v="Returning"/>
    <s v="High Profit"/>
    <x v="4"/>
  </r>
  <r>
    <n v="1333"/>
    <s v="30-06-2025"/>
    <x v="0"/>
    <x v="0"/>
    <x v="0"/>
    <s v="Electronics"/>
    <n v="8"/>
    <n v="518"/>
    <x v="317"/>
    <n v="3108"/>
    <x v="312"/>
    <x v="2"/>
    <s v="Returning"/>
    <s v="High Profit"/>
    <x v="5"/>
  </r>
  <r>
    <n v="1334"/>
    <s v="08-05-2025"/>
    <x v="2"/>
    <x v="3"/>
    <x v="4"/>
    <s v="Electronics"/>
    <n v="4"/>
    <n v="548"/>
    <x v="318"/>
    <n v="1687"/>
    <x v="313"/>
    <x v="3"/>
    <s v="Returning"/>
    <s v="High Profit"/>
    <x v="1"/>
  </r>
  <r>
    <n v="1335"/>
    <s v="27-04-2025"/>
    <x v="3"/>
    <x v="1"/>
    <x v="1"/>
    <s v="Accessories"/>
    <n v="7"/>
    <n v="422"/>
    <x v="319"/>
    <n v="2245"/>
    <x v="314"/>
    <x v="0"/>
    <s v="New"/>
    <s v="High Profit"/>
    <x v="4"/>
  </r>
  <r>
    <n v="1336"/>
    <s v="17-06-2025"/>
    <x v="0"/>
    <x v="2"/>
    <x v="3"/>
    <s v="Electronics"/>
    <n v="3"/>
    <n v="233"/>
    <x v="320"/>
    <n v="447"/>
    <x v="134"/>
    <x v="2"/>
    <s v="New"/>
    <s v="High Profit"/>
    <x v="5"/>
  </r>
  <r>
    <n v="1337"/>
    <s v="02-01-2025"/>
    <x v="2"/>
    <x v="1"/>
    <x v="5"/>
    <s v="Accessories"/>
    <n v="1"/>
    <n v="932"/>
    <x v="321"/>
    <n v="671"/>
    <x v="315"/>
    <x v="2"/>
    <s v="New"/>
    <s v="High Profit"/>
    <x v="3"/>
  </r>
  <r>
    <n v="1338"/>
    <s v="06-03-2025"/>
    <x v="1"/>
    <x v="3"/>
    <x v="5"/>
    <s v="Accessories"/>
    <n v="4"/>
    <n v="227"/>
    <x v="322"/>
    <n v="699"/>
    <x v="274"/>
    <x v="3"/>
    <s v="New"/>
    <s v="High Profit"/>
    <x v="2"/>
  </r>
  <r>
    <n v="1339"/>
    <s v="17-02-2025"/>
    <x v="0"/>
    <x v="2"/>
    <x v="2"/>
    <s v="Electronics"/>
    <n v="4"/>
    <n v="635"/>
    <x v="323"/>
    <n v="1727"/>
    <x v="316"/>
    <x v="3"/>
    <s v="New"/>
    <s v="High Profit"/>
    <x v="0"/>
  </r>
  <r>
    <n v="1340"/>
    <s v="17-05-2025"/>
    <x v="0"/>
    <x v="3"/>
    <x v="5"/>
    <s v="Accessories"/>
    <n v="2"/>
    <n v="957"/>
    <x v="324"/>
    <n v="1397"/>
    <x v="317"/>
    <x v="2"/>
    <s v="Returning"/>
    <s v="High Profit"/>
    <x v="1"/>
  </r>
  <r>
    <n v="1341"/>
    <s v="02-06-2025"/>
    <x v="2"/>
    <x v="3"/>
    <x v="3"/>
    <s v="Electronics"/>
    <n v="3"/>
    <n v="448"/>
    <x v="325"/>
    <n v="806"/>
    <x v="318"/>
    <x v="0"/>
    <s v="Returning"/>
    <s v="High Profit"/>
    <x v="5"/>
  </r>
  <r>
    <n v="1648"/>
    <s v="03-06-2025"/>
    <x v="3"/>
    <x v="3"/>
    <x v="0"/>
    <s v="Electronics"/>
    <n v="5"/>
    <n v="729"/>
    <x v="326"/>
    <n v="2770"/>
    <x v="319"/>
    <x v="4"/>
    <s v="New"/>
    <s v="High Profit"/>
    <x v="5"/>
  </r>
  <r>
    <n v="1343"/>
    <s v="29-04-2025"/>
    <x v="0"/>
    <x v="1"/>
    <x v="4"/>
    <s v="Electronics"/>
    <n v="3"/>
    <n v="830"/>
    <x v="327"/>
    <n v="1718"/>
    <x v="320"/>
    <x v="4"/>
    <s v="Returning"/>
    <s v="High Profit"/>
    <x v="4"/>
  </r>
  <r>
    <n v="1344"/>
    <s v="02-04-2025"/>
    <x v="2"/>
    <x v="0"/>
    <x v="1"/>
    <s v="Accessories"/>
    <n v="3"/>
    <n v="871"/>
    <x v="328"/>
    <n v="1593"/>
    <x v="321"/>
    <x v="2"/>
    <s v="Returning"/>
    <s v="High Profit"/>
    <x v="4"/>
  </r>
  <r>
    <n v="1345"/>
    <s v="16-05-2025"/>
    <x v="2"/>
    <x v="2"/>
    <x v="5"/>
    <s v="Accessories"/>
    <n v="5"/>
    <n v="648"/>
    <x v="329"/>
    <n v="1944"/>
    <x v="322"/>
    <x v="4"/>
    <s v="New"/>
    <s v="High Profit"/>
    <x v="1"/>
  </r>
  <r>
    <n v="1346"/>
    <s v="14-04-2025"/>
    <x v="1"/>
    <x v="2"/>
    <x v="5"/>
    <s v="Accessories"/>
    <n v="9"/>
    <n v="983"/>
    <x v="330"/>
    <n v="6281"/>
    <x v="323"/>
    <x v="2"/>
    <s v="New"/>
    <s v="High Profit"/>
    <x v="4"/>
  </r>
  <r>
    <n v="1347"/>
    <s v="24-03-2025"/>
    <x v="2"/>
    <x v="2"/>
    <x v="0"/>
    <s v="Electronics"/>
    <n v="4"/>
    <n v="550"/>
    <x v="331"/>
    <n v="1474"/>
    <x v="324"/>
    <x v="4"/>
    <s v="Returning"/>
    <s v="High Profit"/>
    <x v="2"/>
  </r>
  <r>
    <n v="1567"/>
    <s v="18-04-2025"/>
    <x v="3"/>
    <x v="3"/>
    <x v="2"/>
    <s v="Electronics"/>
    <n v="7"/>
    <n v="612"/>
    <x v="332"/>
    <n v="3427"/>
    <x v="325"/>
    <x v="1"/>
    <s v="New"/>
    <s v="High Profit"/>
    <x v="4"/>
  </r>
  <r>
    <n v="1349"/>
    <s v="18-03-2025"/>
    <x v="2"/>
    <x v="3"/>
    <x v="2"/>
    <s v="Electronics"/>
    <n v="1"/>
    <n v="769"/>
    <x v="333"/>
    <n v="561"/>
    <x v="326"/>
    <x v="0"/>
    <s v="Returning"/>
    <s v="High Profit"/>
    <x v="2"/>
  </r>
  <r>
    <n v="1350"/>
    <s v="30-03-2025"/>
    <x v="0"/>
    <x v="1"/>
    <x v="5"/>
    <s v="Accessories"/>
    <n v="9"/>
    <n v="55"/>
    <x v="334"/>
    <n v="311"/>
    <x v="327"/>
    <x v="2"/>
    <s v="New"/>
    <s v="High Profit"/>
    <x v="2"/>
  </r>
  <r>
    <n v="1351"/>
    <s v="24-02-2025"/>
    <x v="0"/>
    <x v="3"/>
    <x v="3"/>
    <s v="Electronics"/>
    <n v="4"/>
    <n v="305"/>
    <x v="335"/>
    <n v="732"/>
    <x v="328"/>
    <x v="2"/>
    <s v="Returning"/>
    <s v="High Profit"/>
    <x v="0"/>
  </r>
  <r>
    <n v="1352"/>
    <s v="04-02-2025"/>
    <x v="3"/>
    <x v="3"/>
    <x v="1"/>
    <s v="Accessories"/>
    <n v="9"/>
    <n v="56"/>
    <x v="89"/>
    <n v="372"/>
    <x v="329"/>
    <x v="3"/>
    <s v="Returning"/>
    <s v="Low Profit"/>
    <x v="0"/>
  </r>
  <r>
    <n v="1353"/>
    <s v="25-04-2025"/>
    <x v="0"/>
    <x v="1"/>
    <x v="4"/>
    <s v="Electronics"/>
    <n v="8"/>
    <n v="605"/>
    <x v="336"/>
    <n v="3726"/>
    <x v="330"/>
    <x v="0"/>
    <s v="Returning"/>
    <s v="High Profit"/>
    <x v="4"/>
  </r>
  <r>
    <n v="1354"/>
    <s v="13-03-2025"/>
    <x v="2"/>
    <x v="2"/>
    <x v="1"/>
    <s v="Accessories"/>
    <n v="8"/>
    <n v="315"/>
    <x v="337"/>
    <n v="1713"/>
    <x v="331"/>
    <x v="0"/>
    <s v="New"/>
    <s v="High Profit"/>
    <x v="2"/>
  </r>
  <r>
    <n v="1308"/>
    <s v="17-06-2025"/>
    <x v="3"/>
    <x v="1"/>
    <x v="4"/>
    <s v="Electronics"/>
    <n v="5"/>
    <n v="581"/>
    <x v="338"/>
    <n v="2062"/>
    <x v="332"/>
    <x v="1"/>
    <s v="New"/>
    <s v="High Profit"/>
    <x v="5"/>
  </r>
  <r>
    <n v="1356"/>
    <s v="11-01-2025"/>
    <x v="2"/>
    <x v="0"/>
    <x v="0"/>
    <s v="Electronics"/>
    <n v="10"/>
    <n v="577"/>
    <x v="339"/>
    <n v="3519"/>
    <x v="91"/>
    <x v="4"/>
    <s v="New"/>
    <s v="High Profit"/>
    <x v="3"/>
  </r>
  <r>
    <n v="1357"/>
    <s v="05-01-2025"/>
    <x v="0"/>
    <x v="2"/>
    <x v="3"/>
    <s v="Electronics"/>
    <n v="4"/>
    <n v="684"/>
    <x v="340"/>
    <n v="2079"/>
    <x v="333"/>
    <x v="2"/>
    <s v="New"/>
    <s v="High Profit"/>
    <x v="3"/>
  </r>
  <r>
    <n v="1358"/>
    <s v="17-01-2025"/>
    <x v="2"/>
    <x v="1"/>
    <x v="5"/>
    <s v="Accessories"/>
    <n v="8"/>
    <n v="739"/>
    <x v="341"/>
    <n v="4374"/>
    <x v="334"/>
    <x v="3"/>
    <s v="New"/>
    <s v="High Profit"/>
    <x v="3"/>
  </r>
  <r>
    <n v="1359"/>
    <s v="12-04-2025"/>
    <x v="0"/>
    <x v="2"/>
    <x v="0"/>
    <s v="Electronics"/>
    <n v="9"/>
    <n v="926"/>
    <x v="342"/>
    <n v="6250"/>
    <x v="335"/>
    <x v="0"/>
    <s v="New"/>
    <s v="High Profit"/>
    <x v="4"/>
  </r>
  <r>
    <n v="1360"/>
    <s v="07-05-2025"/>
    <x v="2"/>
    <x v="1"/>
    <x v="1"/>
    <s v="Accessories"/>
    <n v="7"/>
    <n v="845"/>
    <x v="343"/>
    <n v="4377"/>
    <x v="334"/>
    <x v="4"/>
    <s v="Returning"/>
    <s v="High Profit"/>
    <x v="1"/>
  </r>
  <r>
    <n v="1361"/>
    <s v="10-03-2025"/>
    <x v="2"/>
    <x v="0"/>
    <x v="2"/>
    <s v="Electronics"/>
    <n v="10"/>
    <n v="530"/>
    <x v="344"/>
    <n v="3286"/>
    <x v="336"/>
    <x v="1"/>
    <s v="New"/>
    <s v="High Profit"/>
    <x v="2"/>
  </r>
  <r>
    <n v="1362"/>
    <s v="28-06-2025"/>
    <x v="2"/>
    <x v="0"/>
    <x v="3"/>
    <s v="Electronics"/>
    <n v="4"/>
    <n v="917"/>
    <x v="345"/>
    <n v="2494"/>
    <x v="337"/>
    <x v="1"/>
    <s v="New"/>
    <s v="High Profit"/>
    <x v="5"/>
  </r>
  <r>
    <n v="1363"/>
    <s v="25-02-2025"/>
    <x v="2"/>
    <x v="1"/>
    <x v="5"/>
    <s v="Accessories"/>
    <n v="8"/>
    <n v="244"/>
    <x v="346"/>
    <n v="1522"/>
    <x v="338"/>
    <x v="1"/>
    <s v="Returning"/>
    <s v="High Profit"/>
    <x v="0"/>
  </r>
  <r>
    <n v="1364"/>
    <s v="13-02-2025"/>
    <x v="0"/>
    <x v="1"/>
    <x v="5"/>
    <s v="Accessories"/>
    <n v="10"/>
    <n v="456"/>
    <x v="347"/>
    <n v="3556"/>
    <x v="339"/>
    <x v="2"/>
    <s v="Returning"/>
    <s v="High Profit"/>
    <x v="0"/>
  </r>
  <r>
    <n v="1365"/>
    <s v="24-03-2025"/>
    <x v="2"/>
    <x v="3"/>
    <x v="5"/>
    <s v="Accessories"/>
    <n v="1"/>
    <n v="139"/>
    <x v="348"/>
    <n v="94"/>
    <x v="340"/>
    <x v="1"/>
    <s v="New"/>
    <s v="Low Profit"/>
    <x v="2"/>
  </r>
  <r>
    <n v="1366"/>
    <s v="19-05-2025"/>
    <x v="1"/>
    <x v="3"/>
    <x v="5"/>
    <s v="Accessories"/>
    <n v="8"/>
    <n v="647"/>
    <x v="186"/>
    <n v="3519"/>
    <x v="341"/>
    <x v="2"/>
    <s v="Returning"/>
    <s v="High Profit"/>
    <x v="1"/>
  </r>
  <r>
    <n v="1367"/>
    <s v="22-04-2025"/>
    <x v="0"/>
    <x v="2"/>
    <x v="1"/>
    <s v="Accessories"/>
    <n v="9"/>
    <n v="501"/>
    <x v="349"/>
    <n v="2930"/>
    <x v="342"/>
    <x v="4"/>
    <s v="New"/>
    <s v="High Profit"/>
    <x v="4"/>
  </r>
  <r>
    <n v="1887"/>
    <s v="24-04-2025"/>
    <x v="3"/>
    <x v="2"/>
    <x v="0"/>
    <s v="Electronics"/>
    <n v="8"/>
    <n v="329"/>
    <x v="350"/>
    <n v="1789"/>
    <x v="332"/>
    <x v="3"/>
    <s v="New"/>
    <s v="High Profit"/>
    <x v="4"/>
  </r>
  <r>
    <n v="1369"/>
    <s v="22-04-2025"/>
    <x v="0"/>
    <x v="2"/>
    <x v="1"/>
    <s v="Accessories"/>
    <n v="8"/>
    <n v="94"/>
    <x v="264"/>
    <n v="511"/>
    <x v="343"/>
    <x v="2"/>
    <s v="Returning"/>
    <s v="High Profit"/>
    <x v="4"/>
  </r>
  <r>
    <n v="1370"/>
    <s v="13-04-2025"/>
    <x v="1"/>
    <x v="0"/>
    <x v="3"/>
    <s v="Electronics"/>
    <n v="4"/>
    <n v="88"/>
    <x v="351"/>
    <n v="249"/>
    <x v="344"/>
    <x v="1"/>
    <s v="New"/>
    <s v="Low Profit"/>
    <x v="4"/>
  </r>
  <r>
    <n v="1371"/>
    <s v="25-05-2025"/>
    <x v="0"/>
    <x v="3"/>
    <x v="1"/>
    <s v="Accessories"/>
    <n v="5"/>
    <n v="948"/>
    <x v="352"/>
    <n v="3033"/>
    <x v="345"/>
    <x v="1"/>
    <s v="New"/>
    <s v="High Profit"/>
    <x v="1"/>
  </r>
  <r>
    <n v="1372"/>
    <s v="30-05-2025"/>
    <x v="0"/>
    <x v="2"/>
    <x v="0"/>
    <s v="Electronics"/>
    <n v="1"/>
    <n v="182"/>
    <x v="353"/>
    <n v="138"/>
    <x v="346"/>
    <x v="1"/>
    <s v="New"/>
    <s v="Low Profit"/>
    <x v="1"/>
  </r>
  <r>
    <n v="1373"/>
    <s v="19-04-2025"/>
    <x v="2"/>
    <x v="2"/>
    <x v="3"/>
    <s v="Electronics"/>
    <n v="5"/>
    <n v="60"/>
    <x v="354"/>
    <n v="186"/>
    <x v="347"/>
    <x v="4"/>
    <s v="Returning"/>
    <s v="Low Profit"/>
    <x v="4"/>
  </r>
  <r>
    <n v="1374"/>
    <s v="18-01-2025"/>
    <x v="2"/>
    <x v="2"/>
    <x v="1"/>
    <s v="Accessories"/>
    <n v="10"/>
    <n v="546"/>
    <x v="355"/>
    <n v="3658"/>
    <x v="348"/>
    <x v="3"/>
    <s v="New"/>
    <s v="High Profit"/>
    <x v="3"/>
  </r>
  <r>
    <n v="1375"/>
    <s v="16-03-2025"/>
    <x v="2"/>
    <x v="2"/>
    <x v="0"/>
    <s v="Electronics"/>
    <n v="8"/>
    <n v="506"/>
    <x v="356"/>
    <n v="3238"/>
    <x v="349"/>
    <x v="2"/>
    <s v="New"/>
    <s v="High Profit"/>
    <x v="2"/>
  </r>
  <r>
    <n v="1376"/>
    <s v="11-06-2025"/>
    <x v="1"/>
    <x v="1"/>
    <x v="1"/>
    <s v="Accessories"/>
    <n v="10"/>
    <n v="345"/>
    <x v="357"/>
    <n v="2518"/>
    <x v="350"/>
    <x v="3"/>
    <s v="Returning"/>
    <s v="High Profit"/>
    <x v="5"/>
  </r>
  <r>
    <n v="1377"/>
    <s v="07-04-2025"/>
    <x v="2"/>
    <x v="3"/>
    <x v="4"/>
    <s v="Electronics"/>
    <n v="3"/>
    <n v="154"/>
    <x v="358"/>
    <n v="337"/>
    <x v="351"/>
    <x v="3"/>
    <s v="Returning"/>
    <s v="Low Profit"/>
    <x v="4"/>
  </r>
  <r>
    <n v="1378"/>
    <s v="23-02-2025"/>
    <x v="2"/>
    <x v="2"/>
    <x v="3"/>
    <s v="Electronics"/>
    <n v="8"/>
    <n v="332"/>
    <x v="359"/>
    <n v="2018"/>
    <x v="352"/>
    <x v="2"/>
    <s v="New"/>
    <s v="High Profit"/>
    <x v="0"/>
  </r>
  <r>
    <n v="1212"/>
    <s v="11-03-2025"/>
    <x v="3"/>
    <x v="2"/>
    <x v="2"/>
    <s v="Electronics"/>
    <n v="5"/>
    <n v="677"/>
    <x v="360"/>
    <n v="2572"/>
    <x v="316"/>
    <x v="0"/>
    <s v="New"/>
    <s v="High Profit"/>
    <x v="2"/>
  </r>
  <r>
    <n v="1380"/>
    <s v="03-03-2025"/>
    <x v="2"/>
    <x v="1"/>
    <x v="3"/>
    <s v="Electronics"/>
    <n v="8"/>
    <n v="537"/>
    <x v="361"/>
    <n v="3393"/>
    <x v="298"/>
    <x v="1"/>
    <s v="Returning"/>
    <s v="High Profit"/>
    <x v="2"/>
  </r>
  <r>
    <n v="1381"/>
    <s v="28-06-2025"/>
    <x v="0"/>
    <x v="0"/>
    <x v="5"/>
    <s v="Accessories"/>
    <n v="10"/>
    <n v="757"/>
    <x v="362"/>
    <n v="4844"/>
    <x v="353"/>
    <x v="3"/>
    <s v="Returning"/>
    <s v="High Profit"/>
    <x v="5"/>
  </r>
  <r>
    <n v="1382"/>
    <s v="17-04-2025"/>
    <x v="1"/>
    <x v="1"/>
    <x v="0"/>
    <s v="Electronics"/>
    <n v="2"/>
    <n v="55"/>
    <x v="363"/>
    <n v="83"/>
    <x v="354"/>
    <x v="3"/>
    <s v="New"/>
    <s v="Low Profit"/>
    <x v="4"/>
  </r>
  <r>
    <n v="1383"/>
    <s v="25-02-2025"/>
    <x v="0"/>
    <x v="0"/>
    <x v="5"/>
    <s v="Accessories"/>
    <n v="6"/>
    <n v="405"/>
    <x v="127"/>
    <n v="1749"/>
    <x v="355"/>
    <x v="3"/>
    <s v="New"/>
    <s v="High Profit"/>
    <x v="0"/>
  </r>
  <r>
    <n v="1384"/>
    <s v="14-06-2025"/>
    <x v="2"/>
    <x v="3"/>
    <x v="2"/>
    <s v="Electronics"/>
    <n v="8"/>
    <n v="992"/>
    <x v="364"/>
    <n v="4840"/>
    <x v="356"/>
    <x v="2"/>
    <s v="New"/>
    <s v="High Profit"/>
    <x v="5"/>
  </r>
  <r>
    <n v="1385"/>
    <s v="21-04-2025"/>
    <x v="2"/>
    <x v="3"/>
    <x v="5"/>
    <s v="Accessories"/>
    <n v="5"/>
    <n v="732"/>
    <x v="365"/>
    <n v="2745"/>
    <x v="357"/>
    <x v="3"/>
    <s v="New"/>
    <s v="High Profit"/>
    <x v="4"/>
  </r>
  <r>
    <n v="1386"/>
    <s v="25-06-2025"/>
    <x v="0"/>
    <x v="2"/>
    <x v="3"/>
    <s v="Electronics"/>
    <n v="7"/>
    <n v="131"/>
    <x v="366"/>
    <n v="641"/>
    <x v="358"/>
    <x v="3"/>
    <s v="New"/>
    <s v="High Profit"/>
    <x v="5"/>
  </r>
  <r>
    <n v="1387"/>
    <s v="08-01-2025"/>
    <x v="0"/>
    <x v="2"/>
    <x v="0"/>
    <s v="Electronics"/>
    <n v="10"/>
    <n v="65"/>
    <x v="367"/>
    <n v="461"/>
    <x v="359"/>
    <x v="1"/>
    <s v="Returning"/>
    <s v="High Profit"/>
    <x v="3"/>
  </r>
  <r>
    <n v="1388"/>
    <s v="29-06-2025"/>
    <x v="0"/>
    <x v="0"/>
    <x v="2"/>
    <s v="Electronics"/>
    <n v="6"/>
    <n v="423"/>
    <x v="368"/>
    <n v="2030"/>
    <x v="360"/>
    <x v="2"/>
    <s v="New"/>
    <s v="High Profit"/>
    <x v="5"/>
  </r>
  <r>
    <n v="1389"/>
    <s v="19-06-2025"/>
    <x v="0"/>
    <x v="3"/>
    <x v="1"/>
    <s v="Accessories"/>
    <n v="3"/>
    <n v="765"/>
    <x v="369"/>
    <n v="1675"/>
    <x v="361"/>
    <x v="2"/>
    <s v="Returning"/>
    <s v="High Profit"/>
    <x v="5"/>
  </r>
  <r>
    <n v="1390"/>
    <s v="01-02-2025"/>
    <x v="1"/>
    <x v="1"/>
    <x v="5"/>
    <s v="Accessories"/>
    <n v="2"/>
    <n v="612"/>
    <x v="370"/>
    <n v="918"/>
    <x v="218"/>
    <x v="3"/>
    <s v="Returning"/>
    <s v="High Profit"/>
    <x v="0"/>
  </r>
  <r>
    <n v="1391"/>
    <s v="21-06-2025"/>
    <x v="0"/>
    <x v="0"/>
    <x v="4"/>
    <s v="Electronics"/>
    <n v="6"/>
    <n v="395"/>
    <x v="371"/>
    <n v="1824"/>
    <x v="362"/>
    <x v="2"/>
    <s v="Returning"/>
    <s v="High Profit"/>
    <x v="5"/>
  </r>
  <r>
    <n v="1392"/>
    <s v="09-05-2025"/>
    <x v="0"/>
    <x v="2"/>
    <x v="5"/>
    <s v="Accessories"/>
    <n v="5"/>
    <n v="526"/>
    <x v="372"/>
    <n v="1735"/>
    <x v="363"/>
    <x v="2"/>
    <s v="Returning"/>
    <s v="High Profit"/>
    <x v="1"/>
  </r>
  <r>
    <n v="1240"/>
    <s v="28-05-2025"/>
    <x v="3"/>
    <x v="1"/>
    <x v="4"/>
    <s v="Electronics"/>
    <n v="9"/>
    <n v="256"/>
    <x v="373"/>
    <n v="1497"/>
    <x v="331"/>
    <x v="0"/>
    <s v="Returning"/>
    <s v="High Profit"/>
    <x v="1"/>
  </r>
  <r>
    <n v="1915"/>
    <s v="07-01-2025"/>
    <x v="3"/>
    <x v="1"/>
    <x v="2"/>
    <s v="Electronics"/>
    <n v="3"/>
    <n v="744"/>
    <x v="374"/>
    <n v="1428"/>
    <x v="364"/>
    <x v="0"/>
    <s v="New"/>
    <s v="High Profit"/>
    <x v="3"/>
  </r>
  <r>
    <n v="1395"/>
    <s v="16-02-2025"/>
    <x v="0"/>
    <x v="3"/>
    <x v="0"/>
    <s v="Electronics"/>
    <n v="5"/>
    <n v="53"/>
    <x v="375"/>
    <n v="177"/>
    <x v="365"/>
    <x v="4"/>
    <s v="New"/>
    <s v="Low Profit"/>
    <x v="0"/>
  </r>
  <r>
    <n v="1828"/>
    <s v="29-05-2025"/>
    <x v="3"/>
    <x v="0"/>
    <x v="2"/>
    <s v="Electronics"/>
    <n v="5"/>
    <n v="587"/>
    <x v="376"/>
    <n v="2142"/>
    <x v="281"/>
    <x v="4"/>
    <s v="Returning"/>
    <s v="High Profit"/>
    <x v="1"/>
  </r>
  <r>
    <n v="1397"/>
    <s v="01-04-2025"/>
    <x v="0"/>
    <x v="1"/>
    <x v="1"/>
    <s v="Accessories"/>
    <n v="5"/>
    <n v="734"/>
    <x v="377"/>
    <n v="2385"/>
    <x v="366"/>
    <x v="4"/>
    <s v="Returning"/>
    <s v="High Profit"/>
    <x v="4"/>
  </r>
  <r>
    <n v="1398"/>
    <s v="13-04-2025"/>
    <x v="1"/>
    <x v="3"/>
    <x v="2"/>
    <s v="Electronics"/>
    <n v="1"/>
    <n v="786"/>
    <x v="378"/>
    <n v="503"/>
    <x v="100"/>
    <x v="4"/>
    <s v="Returning"/>
    <s v="High Profit"/>
    <x v="4"/>
  </r>
  <r>
    <n v="1399"/>
    <s v="07-04-2025"/>
    <x v="2"/>
    <x v="3"/>
    <x v="3"/>
    <s v="Electronics"/>
    <n v="1"/>
    <n v="868"/>
    <x v="379"/>
    <n v="555"/>
    <x v="367"/>
    <x v="4"/>
    <s v="New"/>
    <s v="High Profit"/>
    <x v="4"/>
  </r>
  <r>
    <n v="1400"/>
    <s v="30-01-2025"/>
    <x v="1"/>
    <x v="1"/>
    <x v="1"/>
    <s v="Accessories"/>
    <n v="8"/>
    <n v="335"/>
    <x v="380"/>
    <n v="2063"/>
    <x v="368"/>
    <x v="2"/>
    <s v="New"/>
    <s v="High Profit"/>
    <x v="3"/>
  </r>
  <r>
    <n v="1401"/>
    <s v="04-01-2025"/>
    <x v="3"/>
    <x v="0"/>
    <x v="5"/>
    <s v="Accessories"/>
    <n v="2"/>
    <n v="311"/>
    <x v="381"/>
    <n v="391"/>
    <x v="369"/>
    <x v="4"/>
    <s v="Returning"/>
    <s v="High Profit"/>
    <x v="3"/>
  </r>
  <r>
    <n v="1402"/>
    <s v="19-02-2025"/>
    <x v="0"/>
    <x v="0"/>
    <x v="2"/>
    <s v="Electronics"/>
    <n v="7"/>
    <n v="582"/>
    <x v="382"/>
    <n v="3055"/>
    <x v="370"/>
    <x v="2"/>
    <s v="Returning"/>
    <s v="High Profit"/>
    <x v="0"/>
  </r>
  <r>
    <n v="1403"/>
    <s v="05-04-2025"/>
    <x v="0"/>
    <x v="0"/>
    <x v="5"/>
    <s v="Accessories"/>
    <n v="8"/>
    <n v="465"/>
    <x v="383"/>
    <n v="2604"/>
    <x v="371"/>
    <x v="0"/>
    <s v="New"/>
    <s v="High Profit"/>
    <x v="4"/>
  </r>
  <r>
    <n v="1404"/>
    <s v="11-02-2025"/>
    <x v="0"/>
    <x v="3"/>
    <x v="2"/>
    <s v="Electronics"/>
    <n v="1"/>
    <n v="730"/>
    <x v="241"/>
    <n v="569"/>
    <x v="240"/>
    <x v="1"/>
    <s v="New"/>
    <s v="Low Profit"/>
    <x v="0"/>
  </r>
  <r>
    <n v="1405"/>
    <s v="04-03-2025"/>
    <x v="2"/>
    <x v="3"/>
    <x v="0"/>
    <s v="Electronics"/>
    <n v="3"/>
    <n v="779"/>
    <x v="384"/>
    <n v="1472"/>
    <x v="372"/>
    <x v="1"/>
    <s v="New"/>
    <s v="High Profit"/>
    <x v="2"/>
  </r>
  <r>
    <n v="1406"/>
    <s v="16-05-2025"/>
    <x v="2"/>
    <x v="2"/>
    <x v="3"/>
    <s v="Electronics"/>
    <n v="3"/>
    <n v="216"/>
    <x v="385"/>
    <n v="395"/>
    <x v="373"/>
    <x v="0"/>
    <s v="Returning"/>
    <s v="High Profit"/>
    <x v="1"/>
  </r>
  <r>
    <n v="1407"/>
    <s v="28-04-2025"/>
    <x v="2"/>
    <x v="3"/>
    <x v="0"/>
    <s v="Electronics"/>
    <n v="6"/>
    <n v="776"/>
    <x v="386"/>
    <n v="3352"/>
    <x v="374"/>
    <x v="0"/>
    <s v="New"/>
    <s v="High Profit"/>
    <x v="4"/>
  </r>
  <r>
    <n v="1408"/>
    <s v="08-03-2025"/>
    <x v="1"/>
    <x v="0"/>
    <x v="2"/>
    <s v="Electronics"/>
    <n v="9"/>
    <n v="561"/>
    <x v="244"/>
    <n v="3534"/>
    <x v="375"/>
    <x v="4"/>
    <s v="New"/>
    <s v="High Profit"/>
    <x v="2"/>
  </r>
  <r>
    <n v="1409"/>
    <s v="29-05-2025"/>
    <x v="3"/>
    <x v="3"/>
    <x v="5"/>
    <s v="Accessories"/>
    <n v="8"/>
    <n v="965"/>
    <x v="387"/>
    <n v="6176"/>
    <x v="376"/>
    <x v="0"/>
    <s v="New"/>
    <s v="High Profit"/>
    <x v="1"/>
  </r>
  <r>
    <n v="1410"/>
    <s v="08-06-2025"/>
    <x v="1"/>
    <x v="3"/>
    <x v="3"/>
    <s v="Electronics"/>
    <n v="5"/>
    <n v="318"/>
    <x v="58"/>
    <n v="1128"/>
    <x v="296"/>
    <x v="4"/>
    <s v="Returning"/>
    <s v="High Profit"/>
    <x v="5"/>
  </r>
  <r>
    <n v="1860"/>
    <s v="11-02-2025"/>
    <x v="3"/>
    <x v="2"/>
    <x v="3"/>
    <s v="Electronics"/>
    <n v="5"/>
    <n v="737"/>
    <x v="388"/>
    <n v="2911"/>
    <x v="377"/>
    <x v="3"/>
    <s v="New"/>
    <s v="High Profit"/>
    <x v="0"/>
  </r>
  <r>
    <n v="1412"/>
    <s v="10-06-2025"/>
    <x v="1"/>
    <x v="2"/>
    <x v="4"/>
    <s v="Electronics"/>
    <n v="2"/>
    <n v="837"/>
    <x v="389"/>
    <n v="1054"/>
    <x v="361"/>
    <x v="3"/>
    <s v="New"/>
    <s v="High Profit"/>
    <x v="5"/>
  </r>
  <r>
    <n v="1413"/>
    <s v="23-05-2025"/>
    <x v="1"/>
    <x v="0"/>
    <x v="4"/>
    <s v="Electronics"/>
    <n v="8"/>
    <n v="439"/>
    <x v="390"/>
    <n v="2809"/>
    <x v="378"/>
    <x v="1"/>
    <s v="New"/>
    <s v="High Profit"/>
    <x v="1"/>
  </r>
  <r>
    <n v="1414"/>
    <s v="17-02-2025"/>
    <x v="0"/>
    <x v="2"/>
    <x v="1"/>
    <s v="Accessories"/>
    <n v="2"/>
    <n v="833"/>
    <x v="391"/>
    <n v="1316"/>
    <x v="379"/>
    <x v="0"/>
    <s v="New"/>
    <s v="High Profit"/>
    <x v="0"/>
  </r>
  <r>
    <n v="1415"/>
    <s v="18-05-2025"/>
    <x v="3"/>
    <x v="1"/>
    <x v="1"/>
    <s v="Accessories"/>
    <n v="10"/>
    <n v="848"/>
    <x v="392"/>
    <n v="5681"/>
    <x v="380"/>
    <x v="4"/>
    <s v="New"/>
    <s v="High Profit"/>
    <x v="1"/>
  </r>
  <r>
    <n v="1416"/>
    <s v="17-03-2025"/>
    <x v="0"/>
    <x v="3"/>
    <x v="2"/>
    <s v="Electronics"/>
    <n v="9"/>
    <n v="531"/>
    <x v="393"/>
    <n v="2867"/>
    <x v="381"/>
    <x v="4"/>
    <s v="Returning"/>
    <s v="High Profit"/>
    <x v="2"/>
  </r>
  <r>
    <n v="1417"/>
    <s v="24-06-2025"/>
    <x v="2"/>
    <x v="3"/>
    <x v="3"/>
    <s v="Electronics"/>
    <n v="10"/>
    <n v="957"/>
    <x v="394"/>
    <n v="5933"/>
    <x v="382"/>
    <x v="4"/>
    <s v="Returning"/>
    <s v="High Profit"/>
    <x v="5"/>
  </r>
  <r>
    <n v="1418"/>
    <s v="25-04-2025"/>
    <x v="2"/>
    <x v="3"/>
    <x v="3"/>
    <s v="Electronics"/>
    <n v="7"/>
    <n v="130"/>
    <x v="395"/>
    <n v="600"/>
    <x v="383"/>
    <x v="4"/>
    <s v="New"/>
    <s v="High Profit"/>
    <x v="4"/>
  </r>
  <r>
    <n v="1419"/>
    <s v="02-01-2025"/>
    <x v="1"/>
    <x v="3"/>
    <x v="2"/>
    <s v="Electronics"/>
    <n v="4"/>
    <n v="650"/>
    <x v="396"/>
    <n v="1872"/>
    <x v="384"/>
    <x v="3"/>
    <s v="New"/>
    <s v="High Profit"/>
    <x v="3"/>
  </r>
  <r>
    <n v="1420"/>
    <s v="20-01-2025"/>
    <x v="0"/>
    <x v="0"/>
    <x v="1"/>
    <s v="Accessories"/>
    <n v="9"/>
    <n v="804"/>
    <x v="397"/>
    <n v="5065"/>
    <x v="385"/>
    <x v="3"/>
    <s v="New"/>
    <s v="High Profit"/>
    <x v="3"/>
  </r>
  <r>
    <n v="1421"/>
    <s v="11-03-2025"/>
    <x v="2"/>
    <x v="3"/>
    <x v="4"/>
    <s v="Electronics"/>
    <n v="5"/>
    <n v="852"/>
    <x v="398"/>
    <n v="3280"/>
    <x v="386"/>
    <x v="0"/>
    <s v="New"/>
    <s v="High Profit"/>
    <x v="2"/>
  </r>
  <r>
    <n v="1422"/>
    <s v="25-01-2025"/>
    <x v="1"/>
    <x v="1"/>
    <x v="5"/>
    <s v="Accessories"/>
    <n v="7"/>
    <n v="194"/>
    <x v="399"/>
    <n v="869"/>
    <x v="387"/>
    <x v="0"/>
    <s v="Returning"/>
    <s v="High Profit"/>
    <x v="3"/>
  </r>
  <r>
    <n v="1423"/>
    <s v="10-02-2025"/>
    <x v="2"/>
    <x v="3"/>
    <x v="3"/>
    <s v="Electronics"/>
    <n v="3"/>
    <n v="487"/>
    <x v="400"/>
    <n v="1008"/>
    <x v="388"/>
    <x v="2"/>
    <s v="New"/>
    <s v="High Profit"/>
    <x v="0"/>
  </r>
  <r>
    <n v="1424"/>
    <s v="26-06-2025"/>
    <x v="1"/>
    <x v="1"/>
    <x v="4"/>
    <s v="Electronics"/>
    <n v="3"/>
    <n v="199"/>
    <x v="401"/>
    <n v="388"/>
    <x v="274"/>
    <x v="3"/>
    <s v="New"/>
    <s v="High Profit"/>
    <x v="5"/>
  </r>
  <r>
    <n v="1425"/>
    <s v="15-02-2025"/>
    <x v="0"/>
    <x v="3"/>
    <x v="1"/>
    <s v="Accessories"/>
    <n v="1"/>
    <n v="995"/>
    <x v="162"/>
    <n v="626"/>
    <x v="389"/>
    <x v="0"/>
    <s v="Returning"/>
    <s v="High Profit"/>
    <x v="0"/>
  </r>
  <r>
    <n v="1439"/>
    <s v="03-04-2025"/>
    <x v="3"/>
    <x v="3"/>
    <x v="4"/>
    <s v="Electronics"/>
    <n v="4"/>
    <n v="488"/>
    <x v="346"/>
    <n v="1190"/>
    <x v="390"/>
    <x v="4"/>
    <s v="New"/>
    <s v="High Profit"/>
    <x v="4"/>
  </r>
  <r>
    <n v="1427"/>
    <s v="12-05-2025"/>
    <x v="2"/>
    <x v="0"/>
    <x v="3"/>
    <s v="Electronics"/>
    <n v="9"/>
    <n v="396"/>
    <x v="402"/>
    <n v="2601"/>
    <x v="391"/>
    <x v="2"/>
    <s v="Returning"/>
    <s v="High Profit"/>
    <x v="1"/>
  </r>
  <r>
    <n v="1428"/>
    <s v="07-01-2025"/>
    <x v="2"/>
    <x v="0"/>
    <x v="1"/>
    <s v="Accessories"/>
    <n v="1"/>
    <n v="639"/>
    <x v="403"/>
    <n v="383"/>
    <x v="263"/>
    <x v="0"/>
    <s v="Returning"/>
    <s v="High Profit"/>
    <x v="3"/>
  </r>
  <r>
    <n v="1782"/>
    <s v="08-01-2025"/>
    <x v="3"/>
    <x v="3"/>
    <x v="3"/>
    <s v="Electronics"/>
    <n v="3"/>
    <n v="666"/>
    <x v="404"/>
    <n v="1238"/>
    <x v="242"/>
    <x v="2"/>
    <s v="New"/>
    <s v="High Profit"/>
    <x v="3"/>
  </r>
  <r>
    <n v="1430"/>
    <s v="17-03-2025"/>
    <x v="1"/>
    <x v="1"/>
    <x v="3"/>
    <s v="Electronics"/>
    <n v="4"/>
    <n v="507"/>
    <x v="405"/>
    <n v="1358"/>
    <x v="392"/>
    <x v="0"/>
    <s v="New"/>
    <s v="High Profit"/>
    <x v="2"/>
  </r>
  <r>
    <n v="1431"/>
    <s v="11-01-2025"/>
    <x v="2"/>
    <x v="2"/>
    <x v="1"/>
    <s v="Accessories"/>
    <n v="3"/>
    <n v="91"/>
    <x v="406"/>
    <n v="193"/>
    <x v="393"/>
    <x v="1"/>
    <s v="Returning"/>
    <s v="Low Profit"/>
    <x v="3"/>
  </r>
  <r>
    <n v="1432"/>
    <s v="16-01-2025"/>
    <x v="2"/>
    <x v="1"/>
    <x v="4"/>
    <s v="Electronics"/>
    <n v="4"/>
    <n v="109"/>
    <x v="407"/>
    <n v="287"/>
    <x v="83"/>
    <x v="1"/>
    <s v="New"/>
    <s v="Low Profit"/>
    <x v="3"/>
  </r>
  <r>
    <n v="1433"/>
    <s v="29-03-2025"/>
    <x v="0"/>
    <x v="0"/>
    <x v="0"/>
    <s v="Electronics"/>
    <n v="6"/>
    <n v="921"/>
    <x v="408"/>
    <n v="3370"/>
    <x v="394"/>
    <x v="4"/>
    <s v="Returning"/>
    <s v="High Profit"/>
    <x v="2"/>
  </r>
  <r>
    <n v="1434"/>
    <s v="12-06-2025"/>
    <x v="1"/>
    <x v="1"/>
    <x v="0"/>
    <s v="Electronics"/>
    <n v="8"/>
    <n v="511"/>
    <x v="409"/>
    <n v="2820"/>
    <x v="253"/>
    <x v="3"/>
    <s v="New"/>
    <s v="High Profit"/>
    <x v="5"/>
  </r>
  <r>
    <n v="1435"/>
    <s v="13-02-2025"/>
    <x v="2"/>
    <x v="0"/>
    <x v="3"/>
    <s v="Electronics"/>
    <n v="6"/>
    <n v="81"/>
    <x v="410"/>
    <n v="374"/>
    <x v="395"/>
    <x v="2"/>
    <s v="Returning"/>
    <s v="Low Profit"/>
    <x v="0"/>
  </r>
  <r>
    <n v="1436"/>
    <s v="17-01-2025"/>
    <x v="2"/>
    <x v="1"/>
    <x v="1"/>
    <s v="Accessories"/>
    <n v="9"/>
    <n v="306"/>
    <x v="411"/>
    <n v="1679"/>
    <x v="396"/>
    <x v="0"/>
    <s v="Returning"/>
    <s v="High Profit"/>
    <x v="3"/>
  </r>
  <r>
    <n v="1437"/>
    <s v="29-04-2025"/>
    <x v="0"/>
    <x v="0"/>
    <x v="0"/>
    <s v="Electronics"/>
    <n v="4"/>
    <n v="712"/>
    <x v="412"/>
    <n v="1708"/>
    <x v="397"/>
    <x v="0"/>
    <s v="Returning"/>
    <s v="High Profit"/>
    <x v="4"/>
  </r>
  <r>
    <n v="1537"/>
    <s v="16-05-2025"/>
    <x v="3"/>
    <x v="3"/>
    <x v="0"/>
    <s v="Electronics"/>
    <n v="5"/>
    <n v="418"/>
    <x v="413"/>
    <n v="1337"/>
    <x v="398"/>
    <x v="4"/>
    <s v="Returning"/>
    <s v="High Profit"/>
    <x v="1"/>
  </r>
  <r>
    <n v="1745"/>
    <s v="23-04-2025"/>
    <x v="3"/>
    <x v="2"/>
    <x v="4"/>
    <s v="Electronics"/>
    <n v="3"/>
    <n v="656"/>
    <x v="414"/>
    <n v="1220"/>
    <x v="399"/>
    <x v="3"/>
    <s v="Returning"/>
    <s v="High Profit"/>
    <x v="4"/>
  </r>
  <r>
    <n v="1440"/>
    <s v="01-02-2025"/>
    <x v="1"/>
    <x v="1"/>
    <x v="3"/>
    <s v="Electronics"/>
    <n v="7"/>
    <n v="382"/>
    <x v="415"/>
    <n v="1871"/>
    <x v="400"/>
    <x v="1"/>
    <s v="Returning"/>
    <s v="High Profit"/>
    <x v="0"/>
  </r>
  <r>
    <n v="1232"/>
    <s v="18-03-2025"/>
    <x v="3"/>
    <x v="1"/>
    <x v="2"/>
    <s v="Electronics"/>
    <n v="3"/>
    <n v="733"/>
    <x v="416"/>
    <n v="1473"/>
    <x v="324"/>
    <x v="0"/>
    <s v="New"/>
    <s v="High Profit"/>
    <x v="2"/>
  </r>
  <r>
    <n v="1442"/>
    <s v="27-04-2025"/>
    <x v="3"/>
    <x v="0"/>
    <x v="1"/>
    <s v="Accessories"/>
    <n v="8"/>
    <n v="76"/>
    <x v="417"/>
    <n v="431"/>
    <x v="89"/>
    <x v="2"/>
    <s v="New"/>
    <s v="Low Profit"/>
    <x v="4"/>
  </r>
  <r>
    <n v="1443"/>
    <s v="01-03-2025"/>
    <x v="0"/>
    <x v="0"/>
    <x v="0"/>
    <s v="Electronics"/>
    <n v="8"/>
    <n v="330"/>
    <x v="418"/>
    <n v="1768"/>
    <x v="401"/>
    <x v="3"/>
    <s v="New"/>
    <s v="High Profit"/>
    <x v="2"/>
  </r>
  <r>
    <n v="1444"/>
    <s v="30-05-2025"/>
    <x v="2"/>
    <x v="2"/>
    <x v="0"/>
    <s v="Electronics"/>
    <n v="2"/>
    <n v="686"/>
    <x v="419"/>
    <n v="1015"/>
    <x v="402"/>
    <x v="0"/>
    <s v="New"/>
    <s v="High Profit"/>
    <x v="1"/>
  </r>
  <r>
    <n v="1445"/>
    <s v="27-02-2025"/>
    <x v="2"/>
    <x v="1"/>
    <x v="2"/>
    <s v="Electronics"/>
    <n v="4"/>
    <n v="367"/>
    <x v="420"/>
    <n v="983"/>
    <x v="403"/>
    <x v="4"/>
    <s v="New"/>
    <s v="High Profit"/>
    <x v="0"/>
  </r>
  <r>
    <n v="1446"/>
    <s v="02-05-2025"/>
    <x v="0"/>
    <x v="1"/>
    <x v="0"/>
    <s v="Electronics"/>
    <n v="3"/>
    <n v="577"/>
    <x v="421"/>
    <n v="1142"/>
    <x v="404"/>
    <x v="3"/>
    <s v="Returning"/>
    <s v="High Profit"/>
    <x v="1"/>
  </r>
  <r>
    <n v="1783"/>
    <s v="17-02-2025"/>
    <x v="3"/>
    <x v="3"/>
    <x v="4"/>
    <s v="Electronics"/>
    <n v="4"/>
    <n v="904"/>
    <x v="422"/>
    <n v="2892"/>
    <x v="405"/>
    <x v="4"/>
    <s v="New"/>
    <s v="High Profit"/>
    <x v="0"/>
  </r>
  <r>
    <n v="1448"/>
    <s v="08-06-2025"/>
    <x v="0"/>
    <x v="2"/>
    <x v="2"/>
    <s v="Electronics"/>
    <n v="4"/>
    <n v="160"/>
    <x v="423"/>
    <n v="435"/>
    <x v="279"/>
    <x v="3"/>
    <s v="Returning"/>
    <s v="High Profit"/>
    <x v="5"/>
  </r>
  <r>
    <n v="1449"/>
    <s v="10-05-2025"/>
    <x v="3"/>
    <x v="3"/>
    <x v="1"/>
    <s v="Accessories"/>
    <n v="3"/>
    <n v="410"/>
    <x v="424"/>
    <n v="984"/>
    <x v="406"/>
    <x v="0"/>
    <s v="New"/>
    <s v="High Profit"/>
    <x v="1"/>
  </r>
  <r>
    <n v="1450"/>
    <s v="08-02-2025"/>
    <x v="2"/>
    <x v="0"/>
    <x v="0"/>
    <s v="Electronics"/>
    <n v="6"/>
    <n v="969"/>
    <x v="425"/>
    <n v="3953"/>
    <x v="407"/>
    <x v="1"/>
    <s v="New"/>
    <s v="High Profit"/>
    <x v="0"/>
  </r>
  <r>
    <n v="1411"/>
    <s v="13-06-2025"/>
    <x v="3"/>
    <x v="3"/>
    <x v="3"/>
    <s v="Electronics"/>
    <n v="9"/>
    <n v="342"/>
    <x v="426"/>
    <n v="2370"/>
    <x v="408"/>
    <x v="4"/>
    <s v="Returning"/>
    <s v="High Profit"/>
    <x v="5"/>
  </r>
  <r>
    <n v="1452"/>
    <s v="11-02-2025"/>
    <x v="0"/>
    <x v="0"/>
    <x v="4"/>
    <s v="Electronics"/>
    <n v="1"/>
    <n v="993"/>
    <x v="427"/>
    <n v="714"/>
    <x v="409"/>
    <x v="2"/>
    <s v="New"/>
    <s v="High Profit"/>
    <x v="0"/>
  </r>
  <r>
    <n v="1453"/>
    <s v="04-04-2025"/>
    <x v="1"/>
    <x v="1"/>
    <x v="1"/>
    <s v="Accessories"/>
    <n v="4"/>
    <n v="793"/>
    <x v="428"/>
    <n v="2156"/>
    <x v="410"/>
    <x v="1"/>
    <s v="New"/>
    <s v="High Profit"/>
    <x v="4"/>
  </r>
  <r>
    <n v="1454"/>
    <s v="09-06-2025"/>
    <x v="1"/>
    <x v="1"/>
    <x v="4"/>
    <s v="Electronics"/>
    <n v="2"/>
    <n v="595"/>
    <x v="111"/>
    <n v="904"/>
    <x v="284"/>
    <x v="4"/>
    <s v="Returning"/>
    <s v="High Profit"/>
    <x v="5"/>
  </r>
  <r>
    <n v="1455"/>
    <s v="24-05-2025"/>
    <x v="0"/>
    <x v="1"/>
    <x v="3"/>
    <s v="Electronics"/>
    <n v="9"/>
    <n v="213"/>
    <x v="429"/>
    <n v="1265"/>
    <x v="209"/>
    <x v="1"/>
    <s v="Returning"/>
    <s v="High Profit"/>
    <x v="1"/>
  </r>
  <r>
    <n v="1456"/>
    <s v="11-02-2025"/>
    <x v="1"/>
    <x v="1"/>
    <x v="3"/>
    <s v="Electronics"/>
    <n v="2"/>
    <n v="69"/>
    <x v="430"/>
    <n v="85"/>
    <x v="411"/>
    <x v="4"/>
    <s v="New"/>
    <s v="Low Profit"/>
    <x v="0"/>
  </r>
  <r>
    <n v="1457"/>
    <s v="02-01-2025"/>
    <x v="2"/>
    <x v="1"/>
    <x v="4"/>
    <s v="Electronics"/>
    <n v="2"/>
    <n v="695"/>
    <x v="431"/>
    <n v="903"/>
    <x v="62"/>
    <x v="1"/>
    <s v="New"/>
    <s v="High Profit"/>
    <x v="3"/>
  </r>
  <r>
    <n v="1458"/>
    <s v="29-04-2025"/>
    <x v="1"/>
    <x v="2"/>
    <x v="5"/>
    <s v="Accessories"/>
    <n v="2"/>
    <n v="347"/>
    <x v="432"/>
    <n v="423"/>
    <x v="412"/>
    <x v="2"/>
    <s v="Returning"/>
    <s v="High Profit"/>
    <x v="4"/>
  </r>
  <r>
    <n v="1459"/>
    <s v="12-06-2025"/>
    <x v="1"/>
    <x v="2"/>
    <x v="3"/>
    <s v="Electronics"/>
    <n v="9"/>
    <n v="278"/>
    <x v="433"/>
    <n v="1501"/>
    <x v="413"/>
    <x v="1"/>
    <s v="Returning"/>
    <s v="High Profit"/>
    <x v="5"/>
  </r>
  <r>
    <n v="1460"/>
    <s v="27-06-2025"/>
    <x v="2"/>
    <x v="3"/>
    <x v="0"/>
    <s v="Electronics"/>
    <n v="1"/>
    <n v="451"/>
    <x v="434"/>
    <n v="270"/>
    <x v="414"/>
    <x v="0"/>
    <s v="New"/>
    <s v="High Profit"/>
    <x v="5"/>
  </r>
  <r>
    <n v="1461"/>
    <s v="06-03-2025"/>
    <x v="3"/>
    <x v="0"/>
    <x v="1"/>
    <s v="Accessories"/>
    <n v="8"/>
    <n v="65"/>
    <x v="435"/>
    <n v="338"/>
    <x v="415"/>
    <x v="3"/>
    <s v="Returning"/>
    <s v="High Profit"/>
    <x v="2"/>
  </r>
  <r>
    <n v="1462"/>
    <s v="13-03-2025"/>
    <x v="1"/>
    <x v="1"/>
    <x v="5"/>
    <s v="Accessories"/>
    <n v="2"/>
    <n v="855"/>
    <x v="145"/>
    <n v="1350"/>
    <x v="416"/>
    <x v="0"/>
    <s v="New"/>
    <s v="High Profit"/>
    <x v="2"/>
  </r>
  <r>
    <n v="1463"/>
    <s v="03-02-2025"/>
    <x v="3"/>
    <x v="0"/>
    <x v="1"/>
    <s v="Accessories"/>
    <n v="5"/>
    <n v="309"/>
    <x v="436"/>
    <n v="1189"/>
    <x v="417"/>
    <x v="3"/>
    <s v="Returning"/>
    <s v="High Profit"/>
    <x v="0"/>
  </r>
  <r>
    <n v="1554"/>
    <s v="06-01-2025"/>
    <x v="3"/>
    <x v="3"/>
    <x v="2"/>
    <s v="Electronics"/>
    <n v="2"/>
    <n v="975"/>
    <x v="437"/>
    <n v="1267"/>
    <x v="418"/>
    <x v="0"/>
    <s v="New"/>
    <s v="High Profit"/>
    <x v="3"/>
  </r>
  <r>
    <n v="1465"/>
    <s v="08-03-2025"/>
    <x v="2"/>
    <x v="3"/>
    <x v="4"/>
    <s v="Electronics"/>
    <n v="6"/>
    <n v="954"/>
    <x v="438"/>
    <n v="3434"/>
    <x v="419"/>
    <x v="2"/>
    <s v="New"/>
    <s v="High Profit"/>
    <x v="2"/>
  </r>
  <r>
    <n v="1466"/>
    <s v="18-03-2025"/>
    <x v="0"/>
    <x v="0"/>
    <x v="3"/>
    <s v="Electronics"/>
    <n v="3"/>
    <n v="656"/>
    <x v="414"/>
    <n v="1436"/>
    <x v="420"/>
    <x v="0"/>
    <s v="Returning"/>
    <s v="High Profit"/>
    <x v="2"/>
  </r>
  <r>
    <n v="1467"/>
    <s v="02-04-2025"/>
    <x v="2"/>
    <x v="2"/>
    <x v="4"/>
    <s v="Electronics"/>
    <n v="2"/>
    <n v="835"/>
    <x v="439"/>
    <n v="1018"/>
    <x v="209"/>
    <x v="4"/>
    <s v="New"/>
    <s v="High Profit"/>
    <x v="4"/>
  </r>
  <r>
    <n v="1468"/>
    <s v="27-04-2025"/>
    <x v="1"/>
    <x v="0"/>
    <x v="0"/>
    <s v="Electronics"/>
    <n v="3"/>
    <n v="542"/>
    <x v="440"/>
    <n v="1008"/>
    <x v="219"/>
    <x v="1"/>
    <s v="Returning"/>
    <s v="High Profit"/>
    <x v="4"/>
  </r>
  <r>
    <n v="1469"/>
    <s v="27-02-2025"/>
    <x v="1"/>
    <x v="2"/>
    <x v="0"/>
    <s v="Electronics"/>
    <n v="7"/>
    <n v="905"/>
    <x v="441"/>
    <n v="4307"/>
    <x v="421"/>
    <x v="1"/>
    <s v="Returning"/>
    <s v="High Profit"/>
    <x v="0"/>
  </r>
  <r>
    <n v="1470"/>
    <s v="26-05-2025"/>
    <x v="1"/>
    <x v="1"/>
    <x v="5"/>
    <s v="Accessories"/>
    <n v="5"/>
    <n v="218"/>
    <x v="442"/>
    <n v="773"/>
    <x v="422"/>
    <x v="0"/>
    <s v="New"/>
    <s v="High Profit"/>
    <x v="1"/>
  </r>
  <r>
    <n v="1471"/>
    <s v="12-02-2025"/>
    <x v="1"/>
    <x v="0"/>
    <x v="0"/>
    <s v="Electronics"/>
    <n v="1"/>
    <n v="294"/>
    <x v="443"/>
    <n v="176"/>
    <x v="76"/>
    <x v="2"/>
    <s v="Returning"/>
    <s v="Low Profit"/>
    <x v="0"/>
  </r>
  <r>
    <n v="1472"/>
    <s v="05-02-2025"/>
    <x v="2"/>
    <x v="1"/>
    <x v="4"/>
    <s v="Electronics"/>
    <n v="9"/>
    <n v="916"/>
    <x v="444"/>
    <n v="5523"/>
    <x v="423"/>
    <x v="1"/>
    <s v="New"/>
    <s v="High Profit"/>
    <x v="0"/>
  </r>
  <r>
    <n v="1798"/>
    <s v="16-02-2025"/>
    <x v="3"/>
    <x v="0"/>
    <x v="3"/>
    <s v="Electronics"/>
    <n v="6"/>
    <n v="529"/>
    <x v="445"/>
    <n v="2507"/>
    <x v="424"/>
    <x v="0"/>
    <s v="New"/>
    <s v="High Profit"/>
    <x v="0"/>
  </r>
  <r>
    <n v="1474"/>
    <s v="11-05-2025"/>
    <x v="0"/>
    <x v="1"/>
    <x v="2"/>
    <s v="Electronics"/>
    <n v="2"/>
    <n v="682"/>
    <x v="446"/>
    <n v="845"/>
    <x v="425"/>
    <x v="2"/>
    <s v="Returning"/>
    <s v="High Profit"/>
    <x v="1"/>
  </r>
  <r>
    <n v="1475"/>
    <s v="07-01-2025"/>
    <x v="0"/>
    <x v="1"/>
    <x v="0"/>
    <s v="Electronics"/>
    <n v="7"/>
    <n v="780"/>
    <x v="355"/>
    <n v="4368"/>
    <x v="426"/>
    <x v="3"/>
    <s v="Returning"/>
    <s v="High Profit"/>
    <x v="3"/>
  </r>
  <r>
    <n v="1829"/>
    <s v="23-04-2025"/>
    <x v="3"/>
    <x v="1"/>
    <x v="4"/>
    <s v="Electronics"/>
    <n v="3"/>
    <n v="714"/>
    <x v="447"/>
    <n v="1477"/>
    <x v="427"/>
    <x v="1"/>
    <s v="Returning"/>
    <s v="High Profit"/>
    <x v="4"/>
  </r>
  <r>
    <n v="1477"/>
    <s v="17-02-2025"/>
    <x v="1"/>
    <x v="3"/>
    <x v="4"/>
    <s v="Electronics"/>
    <n v="6"/>
    <n v="356"/>
    <x v="448"/>
    <n v="1409"/>
    <x v="428"/>
    <x v="4"/>
    <s v="Returning"/>
    <s v="High Profit"/>
    <x v="0"/>
  </r>
  <r>
    <n v="1478"/>
    <s v="07-04-2025"/>
    <x v="2"/>
    <x v="0"/>
    <x v="4"/>
    <s v="Electronics"/>
    <n v="7"/>
    <n v="916"/>
    <x v="449"/>
    <n v="4873"/>
    <x v="429"/>
    <x v="3"/>
    <s v="Returning"/>
    <s v="High Profit"/>
    <x v="4"/>
  </r>
  <r>
    <n v="1479"/>
    <s v="10-03-2025"/>
    <x v="0"/>
    <x v="3"/>
    <x v="2"/>
    <s v="Electronics"/>
    <n v="5"/>
    <n v="311"/>
    <x v="450"/>
    <n v="1041"/>
    <x v="430"/>
    <x v="2"/>
    <s v="Returning"/>
    <s v="High Profit"/>
    <x v="2"/>
  </r>
  <r>
    <n v="1830"/>
    <s v="20-02-2025"/>
    <x v="3"/>
    <x v="1"/>
    <x v="3"/>
    <s v="Electronics"/>
    <n v="2"/>
    <n v="860"/>
    <x v="451"/>
    <n v="1066"/>
    <x v="431"/>
    <x v="3"/>
    <s v="Returning"/>
    <s v="High Profit"/>
    <x v="0"/>
  </r>
  <r>
    <n v="1481"/>
    <s v="26-06-2025"/>
    <x v="1"/>
    <x v="2"/>
    <x v="3"/>
    <s v="Electronics"/>
    <n v="1"/>
    <n v="654"/>
    <x v="452"/>
    <n v="457"/>
    <x v="432"/>
    <x v="3"/>
    <s v="New"/>
    <s v="High Profit"/>
    <x v="5"/>
  </r>
  <r>
    <n v="1482"/>
    <s v="01-05-2025"/>
    <x v="1"/>
    <x v="2"/>
    <x v="1"/>
    <s v="Accessories"/>
    <n v="4"/>
    <n v="441"/>
    <x v="453"/>
    <n v="1323"/>
    <x v="303"/>
    <x v="1"/>
    <s v="Returning"/>
    <s v="High Profit"/>
    <x v="1"/>
  </r>
  <r>
    <n v="1483"/>
    <s v="21-01-2025"/>
    <x v="1"/>
    <x v="0"/>
    <x v="5"/>
    <s v="Accessories"/>
    <n v="2"/>
    <n v="808"/>
    <x v="454"/>
    <n v="1260"/>
    <x v="417"/>
    <x v="0"/>
    <s v="Returning"/>
    <s v="High Profit"/>
    <x v="3"/>
  </r>
  <r>
    <n v="1484"/>
    <s v="09-02-2025"/>
    <x v="0"/>
    <x v="3"/>
    <x v="0"/>
    <s v="Electronics"/>
    <n v="3"/>
    <n v="450"/>
    <x v="455"/>
    <n v="1039"/>
    <x v="433"/>
    <x v="1"/>
    <s v="Returning"/>
    <s v="High Profit"/>
    <x v="0"/>
  </r>
  <r>
    <n v="1485"/>
    <s v="15-01-2025"/>
    <x v="0"/>
    <x v="2"/>
    <x v="1"/>
    <s v="Accessories"/>
    <n v="1"/>
    <n v="373"/>
    <x v="456"/>
    <n v="249"/>
    <x v="434"/>
    <x v="1"/>
    <s v="Returning"/>
    <s v="Low Profit"/>
    <x v="3"/>
  </r>
  <r>
    <n v="1486"/>
    <s v="26-06-2025"/>
    <x v="0"/>
    <x v="3"/>
    <x v="2"/>
    <s v="Electronics"/>
    <n v="5"/>
    <n v="992"/>
    <x v="457"/>
    <n v="3918"/>
    <x v="435"/>
    <x v="4"/>
    <s v="Returning"/>
    <s v="High Profit"/>
    <x v="5"/>
  </r>
  <r>
    <n v="1137"/>
    <s v="07-01-2025"/>
    <x v="3"/>
    <x v="2"/>
    <x v="3"/>
    <s v="Electronics"/>
    <n v="7"/>
    <n v="373"/>
    <x v="458"/>
    <n v="1958"/>
    <x v="436"/>
    <x v="1"/>
    <s v="Returning"/>
    <s v="High Profit"/>
    <x v="3"/>
  </r>
  <r>
    <n v="1488"/>
    <s v="02-04-2025"/>
    <x v="0"/>
    <x v="0"/>
    <x v="0"/>
    <s v="Electronics"/>
    <n v="3"/>
    <n v="575"/>
    <x v="459"/>
    <n v="1035"/>
    <x v="437"/>
    <x v="1"/>
    <s v="Returning"/>
    <s v="High Profit"/>
    <x v="4"/>
  </r>
  <r>
    <n v="1489"/>
    <s v="03-05-2025"/>
    <x v="3"/>
    <x v="1"/>
    <x v="5"/>
    <s v="Accessories"/>
    <n v="8"/>
    <n v="758"/>
    <x v="460"/>
    <n v="4548"/>
    <x v="124"/>
    <x v="4"/>
    <s v="New"/>
    <s v="High Profit"/>
    <x v="1"/>
  </r>
  <r>
    <n v="1490"/>
    <s v="14-05-2025"/>
    <x v="0"/>
    <x v="3"/>
    <x v="2"/>
    <s v="Electronics"/>
    <n v="8"/>
    <n v="604"/>
    <x v="461"/>
    <n v="3575"/>
    <x v="438"/>
    <x v="4"/>
    <s v="New"/>
    <s v="High Profit"/>
    <x v="1"/>
  </r>
  <r>
    <n v="1491"/>
    <s v="27-05-2025"/>
    <x v="0"/>
    <x v="3"/>
    <x v="2"/>
    <s v="Electronics"/>
    <n v="10"/>
    <n v="592"/>
    <x v="462"/>
    <n v="4558"/>
    <x v="439"/>
    <x v="0"/>
    <s v="Returning"/>
    <s v="High Profit"/>
    <x v="1"/>
  </r>
  <r>
    <n v="1492"/>
    <s v="05-06-2025"/>
    <x v="3"/>
    <x v="2"/>
    <x v="5"/>
    <s v="Accessories"/>
    <n v="2"/>
    <n v="515"/>
    <x v="463"/>
    <n v="648"/>
    <x v="440"/>
    <x v="4"/>
    <s v="Returning"/>
    <s v="High Profit"/>
    <x v="5"/>
  </r>
  <r>
    <n v="1493"/>
    <s v="15-06-2025"/>
    <x v="1"/>
    <x v="3"/>
    <x v="4"/>
    <s v="Electronics"/>
    <n v="4"/>
    <n v="482"/>
    <x v="464"/>
    <n v="1233"/>
    <x v="441"/>
    <x v="2"/>
    <s v="New"/>
    <s v="High Profit"/>
    <x v="5"/>
  </r>
  <r>
    <n v="1494"/>
    <s v="23-03-2025"/>
    <x v="1"/>
    <x v="0"/>
    <x v="1"/>
    <s v="Accessories"/>
    <n v="6"/>
    <n v="612"/>
    <x v="465"/>
    <n v="2313"/>
    <x v="442"/>
    <x v="4"/>
    <s v="Returning"/>
    <s v="High Profit"/>
    <x v="2"/>
  </r>
  <r>
    <n v="1495"/>
    <s v="17-01-2025"/>
    <x v="1"/>
    <x v="0"/>
    <x v="5"/>
    <s v="Accessories"/>
    <n v="5"/>
    <n v="909"/>
    <x v="466"/>
    <n v="2999"/>
    <x v="443"/>
    <x v="2"/>
    <s v="New"/>
    <s v="High Profit"/>
    <x v="3"/>
  </r>
  <r>
    <n v="1496"/>
    <s v="24-02-2025"/>
    <x v="2"/>
    <x v="0"/>
    <x v="4"/>
    <s v="Electronics"/>
    <n v="9"/>
    <n v="447"/>
    <x v="467"/>
    <n v="2454"/>
    <x v="444"/>
    <x v="3"/>
    <s v="Returning"/>
    <s v="High Profit"/>
    <x v="0"/>
  </r>
  <r>
    <n v="1497"/>
    <s v="24-05-2025"/>
    <x v="2"/>
    <x v="1"/>
    <x v="2"/>
    <s v="Electronics"/>
    <n v="1"/>
    <n v="843"/>
    <x v="468"/>
    <n v="531"/>
    <x v="445"/>
    <x v="3"/>
    <s v="Returning"/>
    <s v="High Profit"/>
    <x v="1"/>
  </r>
  <r>
    <n v="1498"/>
    <s v="28-03-2025"/>
    <x v="2"/>
    <x v="0"/>
    <x v="3"/>
    <s v="Electronics"/>
    <n v="8"/>
    <n v="264"/>
    <x v="469"/>
    <n v="1689"/>
    <x v="446"/>
    <x v="1"/>
    <s v="Returning"/>
    <s v="High Profit"/>
    <x v="2"/>
  </r>
  <r>
    <n v="1499"/>
    <s v="28-02-2025"/>
    <x v="1"/>
    <x v="0"/>
    <x v="5"/>
    <s v="Accessories"/>
    <n v="6"/>
    <n v="751"/>
    <x v="470"/>
    <n v="3424"/>
    <x v="447"/>
    <x v="2"/>
    <s v="Returning"/>
    <s v="High Profit"/>
    <x v="0"/>
  </r>
  <r>
    <n v="1500"/>
    <s v="16-02-2025"/>
    <x v="2"/>
    <x v="2"/>
    <x v="0"/>
    <s v="Electronics"/>
    <n v="7"/>
    <n v="550"/>
    <x v="471"/>
    <n v="2810"/>
    <x v="448"/>
    <x v="1"/>
    <s v="Returning"/>
    <s v="High Profit"/>
    <x v="0"/>
  </r>
  <r>
    <n v="1501"/>
    <s v="31-03-2025"/>
    <x v="2"/>
    <x v="2"/>
    <x v="3"/>
    <s v="Electronics"/>
    <n v="3"/>
    <n v="676"/>
    <x v="405"/>
    <n v="1622"/>
    <x v="449"/>
    <x v="0"/>
    <s v="New"/>
    <s v="High Profit"/>
    <x v="2"/>
  </r>
  <r>
    <n v="1502"/>
    <s v="09-05-2025"/>
    <x v="0"/>
    <x v="3"/>
    <x v="3"/>
    <s v="Electronics"/>
    <n v="1"/>
    <n v="425"/>
    <x v="472"/>
    <n v="335"/>
    <x v="450"/>
    <x v="2"/>
    <s v="Returning"/>
    <s v="Low Profit"/>
    <x v="1"/>
  </r>
  <r>
    <n v="1209"/>
    <s v="18-01-2025"/>
    <x v="3"/>
    <x v="1"/>
    <x v="4"/>
    <s v="Electronics"/>
    <n v="2"/>
    <n v="926"/>
    <x v="473"/>
    <n v="1203"/>
    <x v="451"/>
    <x v="4"/>
    <s v="Returning"/>
    <s v="High Profit"/>
    <x v="3"/>
  </r>
  <r>
    <n v="1504"/>
    <s v="10-06-2025"/>
    <x v="1"/>
    <x v="2"/>
    <x v="2"/>
    <s v="Electronics"/>
    <n v="4"/>
    <n v="237"/>
    <x v="474"/>
    <n v="625"/>
    <x v="211"/>
    <x v="0"/>
    <s v="New"/>
    <s v="High Profit"/>
    <x v="5"/>
  </r>
  <r>
    <n v="1464"/>
    <s v="31-03-2025"/>
    <x v="3"/>
    <x v="0"/>
    <x v="4"/>
    <s v="Electronics"/>
    <n v="4"/>
    <n v="571"/>
    <x v="80"/>
    <n v="1644"/>
    <x v="452"/>
    <x v="0"/>
    <s v="Returning"/>
    <s v="High Profit"/>
    <x v="2"/>
  </r>
  <r>
    <n v="1506"/>
    <s v="31-01-2025"/>
    <x v="1"/>
    <x v="1"/>
    <x v="3"/>
    <s v="Electronics"/>
    <n v="3"/>
    <n v="300"/>
    <x v="475"/>
    <n v="666"/>
    <x v="453"/>
    <x v="3"/>
    <s v="New"/>
    <s v="High Profit"/>
    <x v="3"/>
  </r>
  <r>
    <n v="1507"/>
    <s v="23-03-2025"/>
    <x v="0"/>
    <x v="0"/>
    <x v="1"/>
    <s v="Accessories"/>
    <n v="9"/>
    <n v="217"/>
    <x v="476"/>
    <n v="1562"/>
    <x v="454"/>
    <x v="1"/>
    <s v="Returning"/>
    <s v="High Profit"/>
    <x v="2"/>
  </r>
  <r>
    <n v="1508"/>
    <s v="03-05-2025"/>
    <x v="2"/>
    <x v="2"/>
    <x v="2"/>
    <s v="Electronics"/>
    <n v="1"/>
    <n v="787"/>
    <x v="477"/>
    <n v="472"/>
    <x v="17"/>
    <x v="0"/>
    <s v="New"/>
    <s v="High Profit"/>
    <x v="1"/>
  </r>
  <r>
    <n v="1698"/>
    <s v="01-01-2025"/>
    <x v="3"/>
    <x v="2"/>
    <x v="0"/>
    <s v="Electronics"/>
    <n v="4"/>
    <n v="570"/>
    <x v="478"/>
    <n v="1641"/>
    <x v="455"/>
    <x v="0"/>
    <s v="Returning"/>
    <s v="High Profit"/>
    <x v="3"/>
  </r>
  <r>
    <n v="1057"/>
    <s v="29-04-2025"/>
    <x v="3"/>
    <x v="2"/>
    <x v="0"/>
    <s v="Electronics"/>
    <n v="8"/>
    <n v="312"/>
    <x v="479"/>
    <n v="1872"/>
    <x v="12"/>
    <x v="3"/>
    <s v="New"/>
    <s v="High Profit"/>
    <x v="4"/>
  </r>
  <r>
    <n v="1511"/>
    <s v="04-04-2025"/>
    <x v="2"/>
    <x v="3"/>
    <x v="1"/>
    <s v="Accessories"/>
    <n v="3"/>
    <n v="977"/>
    <x v="480"/>
    <n v="2022"/>
    <x v="456"/>
    <x v="1"/>
    <s v="Returning"/>
    <s v="High Profit"/>
    <x v="4"/>
  </r>
  <r>
    <n v="1512"/>
    <s v="23-04-2025"/>
    <x v="1"/>
    <x v="2"/>
    <x v="3"/>
    <s v="Electronics"/>
    <n v="6"/>
    <n v="555"/>
    <x v="261"/>
    <n v="2197"/>
    <x v="457"/>
    <x v="2"/>
    <s v="Returning"/>
    <s v="High Profit"/>
    <x v="4"/>
  </r>
  <r>
    <n v="1513"/>
    <s v="28-03-2025"/>
    <x v="0"/>
    <x v="2"/>
    <x v="5"/>
    <s v="Accessories"/>
    <n v="8"/>
    <n v="793"/>
    <x v="481"/>
    <n v="4123"/>
    <x v="458"/>
    <x v="0"/>
    <s v="New"/>
    <s v="High Profit"/>
    <x v="2"/>
  </r>
  <r>
    <n v="1514"/>
    <s v="23-06-2025"/>
    <x v="3"/>
    <x v="3"/>
    <x v="1"/>
    <s v="Accessories"/>
    <n v="7"/>
    <n v="293"/>
    <x v="482"/>
    <n v="1415"/>
    <x v="5"/>
    <x v="2"/>
    <s v="Returning"/>
    <s v="High Profit"/>
    <x v="5"/>
  </r>
  <r>
    <n v="1515"/>
    <s v="27-03-2025"/>
    <x v="1"/>
    <x v="3"/>
    <x v="3"/>
    <s v="Electronics"/>
    <n v="2"/>
    <n v="283"/>
    <x v="176"/>
    <n v="418"/>
    <x v="226"/>
    <x v="1"/>
    <s v="New"/>
    <s v="Low Profit"/>
    <x v="2"/>
  </r>
  <r>
    <n v="1516"/>
    <s v="07-05-2025"/>
    <x v="1"/>
    <x v="3"/>
    <x v="4"/>
    <s v="Electronics"/>
    <n v="9"/>
    <n v="491"/>
    <x v="483"/>
    <n v="3402"/>
    <x v="459"/>
    <x v="1"/>
    <s v="New"/>
    <s v="High Profit"/>
    <x v="1"/>
  </r>
  <r>
    <n v="1517"/>
    <s v="01-02-2025"/>
    <x v="0"/>
    <x v="1"/>
    <x v="5"/>
    <s v="Accessories"/>
    <n v="2"/>
    <n v="459"/>
    <x v="484"/>
    <n v="706"/>
    <x v="460"/>
    <x v="4"/>
    <s v="New"/>
    <s v="High Profit"/>
    <x v="0"/>
  </r>
  <r>
    <n v="1518"/>
    <s v="07-04-2025"/>
    <x v="1"/>
    <x v="0"/>
    <x v="4"/>
    <s v="Electronics"/>
    <n v="1"/>
    <n v="608"/>
    <x v="417"/>
    <n v="407"/>
    <x v="461"/>
    <x v="3"/>
    <s v="Returning"/>
    <s v="High Profit"/>
    <x v="4"/>
  </r>
  <r>
    <n v="1519"/>
    <s v="03-01-2025"/>
    <x v="0"/>
    <x v="2"/>
    <x v="3"/>
    <s v="Electronics"/>
    <n v="8"/>
    <n v="772"/>
    <x v="485"/>
    <n v="4323"/>
    <x v="462"/>
    <x v="3"/>
    <s v="New"/>
    <s v="High Profit"/>
    <x v="3"/>
  </r>
  <r>
    <n v="1520"/>
    <s v="01-06-2025"/>
    <x v="0"/>
    <x v="0"/>
    <x v="0"/>
    <s v="Electronics"/>
    <n v="7"/>
    <n v="221"/>
    <x v="486"/>
    <n v="1051"/>
    <x v="463"/>
    <x v="1"/>
    <s v="Returning"/>
    <s v="High Profit"/>
    <x v="5"/>
  </r>
  <r>
    <n v="1521"/>
    <s v="22-02-2025"/>
    <x v="0"/>
    <x v="2"/>
    <x v="5"/>
    <s v="Accessories"/>
    <n v="7"/>
    <n v="102"/>
    <x v="487"/>
    <n v="556"/>
    <x v="464"/>
    <x v="1"/>
    <s v="Returning"/>
    <s v="Low Profit"/>
    <x v="0"/>
  </r>
  <r>
    <n v="1522"/>
    <s v="25-05-2025"/>
    <x v="1"/>
    <x v="3"/>
    <x v="4"/>
    <s v="Electronics"/>
    <n v="9"/>
    <n v="736"/>
    <x v="488"/>
    <n v="4106"/>
    <x v="465"/>
    <x v="1"/>
    <s v="Returning"/>
    <s v="High Profit"/>
    <x v="1"/>
  </r>
  <r>
    <n v="1523"/>
    <s v="02-05-2025"/>
    <x v="1"/>
    <x v="0"/>
    <x v="0"/>
    <s v="Electronics"/>
    <n v="9"/>
    <n v="987"/>
    <x v="489"/>
    <n v="5951"/>
    <x v="466"/>
    <x v="1"/>
    <s v="New"/>
    <s v="High Profit"/>
    <x v="1"/>
  </r>
  <r>
    <n v="1524"/>
    <s v="02-05-2025"/>
    <x v="0"/>
    <x v="1"/>
    <x v="3"/>
    <s v="Electronics"/>
    <n v="3"/>
    <n v="262"/>
    <x v="378"/>
    <n v="534"/>
    <x v="134"/>
    <x v="2"/>
    <s v="New"/>
    <s v="High Profit"/>
    <x v="1"/>
  </r>
  <r>
    <n v="1525"/>
    <s v="13-02-2025"/>
    <x v="2"/>
    <x v="0"/>
    <x v="1"/>
    <s v="Accessories"/>
    <n v="1"/>
    <n v="958"/>
    <x v="490"/>
    <n v="680"/>
    <x v="467"/>
    <x v="4"/>
    <s v="Returning"/>
    <s v="High Profit"/>
    <x v="0"/>
  </r>
  <r>
    <n v="1526"/>
    <s v="07-04-2025"/>
    <x v="0"/>
    <x v="2"/>
    <x v="1"/>
    <s v="Accessories"/>
    <n v="9"/>
    <n v="373"/>
    <x v="491"/>
    <n v="2282"/>
    <x v="396"/>
    <x v="1"/>
    <s v="Returning"/>
    <s v="High Profit"/>
    <x v="4"/>
  </r>
  <r>
    <n v="1527"/>
    <s v="27-01-2025"/>
    <x v="1"/>
    <x v="0"/>
    <x v="0"/>
    <s v="Electronics"/>
    <n v="3"/>
    <n v="998"/>
    <x v="185"/>
    <n v="2395"/>
    <x v="468"/>
    <x v="2"/>
    <s v="New"/>
    <s v="High Profit"/>
    <x v="3"/>
  </r>
  <r>
    <n v="1528"/>
    <s v="12-03-2025"/>
    <x v="0"/>
    <x v="0"/>
    <x v="1"/>
    <s v="Accessories"/>
    <n v="6"/>
    <n v="481"/>
    <x v="492"/>
    <n v="1789"/>
    <x v="469"/>
    <x v="4"/>
    <s v="New"/>
    <s v="High Profit"/>
    <x v="2"/>
  </r>
  <r>
    <n v="1529"/>
    <s v="09-06-2025"/>
    <x v="1"/>
    <x v="1"/>
    <x v="0"/>
    <s v="Electronics"/>
    <n v="6"/>
    <n v="990"/>
    <x v="493"/>
    <n v="4752"/>
    <x v="470"/>
    <x v="3"/>
    <s v="Returning"/>
    <s v="High Profit"/>
    <x v="5"/>
  </r>
  <r>
    <n v="1530"/>
    <s v="11-05-2025"/>
    <x v="0"/>
    <x v="3"/>
    <x v="0"/>
    <s v="Electronics"/>
    <n v="7"/>
    <n v="300"/>
    <x v="494"/>
    <n v="1302"/>
    <x v="222"/>
    <x v="3"/>
    <s v="Returning"/>
    <s v="High Profit"/>
    <x v="1"/>
  </r>
  <r>
    <n v="1531"/>
    <s v="27-02-2025"/>
    <x v="2"/>
    <x v="3"/>
    <x v="0"/>
    <s v="Electronics"/>
    <n v="8"/>
    <n v="458"/>
    <x v="495"/>
    <n v="2235"/>
    <x v="471"/>
    <x v="1"/>
    <s v="Returning"/>
    <s v="High Profit"/>
    <x v="0"/>
  </r>
  <r>
    <n v="1532"/>
    <s v="15-01-2025"/>
    <x v="2"/>
    <x v="3"/>
    <x v="3"/>
    <s v="Electronics"/>
    <n v="10"/>
    <n v="487"/>
    <x v="496"/>
    <n v="3555"/>
    <x v="472"/>
    <x v="3"/>
    <s v="New"/>
    <s v="High Profit"/>
    <x v="3"/>
  </r>
  <r>
    <n v="1533"/>
    <s v="31-05-2025"/>
    <x v="1"/>
    <x v="1"/>
    <x v="0"/>
    <s v="Electronics"/>
    <n v="3"/>
    <n v="958"/>
    <x v="497"/>
    <n v="2241"/>
    <x v="473"/>
    <x v="1"/>
    <s v="New"/>
    <s v="High Profit"/>
    <x v="1"/>
  </r>
  <r>
    <n v="1534"/>
    <s v="18-06-2025"/>
    <x v="0"/>
    <x v="0"/>
    <x v="0"/>
    <s v="Electronics"/>
    <n v="2"/>
    <n v="759"/>
    <x v="498"/>
    <n v="1047"/>
    <x v="474"/>
    <x v="2"/>
    <s v="Returning"/>
    <s v="High Profit"/>
    <x v="5"/>
  </r>
  <r>
    <n v="1535"/>
    <s v="21-02-2025"/>
    <x v="2"/>
    <x v="1"/>
    <x v="5"/>
    <s v="Accessories"/>
    <n v="2"/>
    <n v="799"/>
    <x v="499"/>
    <n v="1102"/>
    <x v="463"/>
    <x v="4"/>
    <s v="New"/>
    <s v="High Profit"/>
    <x v="0"/>
  </r>
  <r>
    <n v="1536"/>
    <s v="28-03-2025"/>
    <x v="2"/>
    <x v="0"/>
    <x v="2"/>
    <s v="Electronics"/>
    <n v="2"/>
    <n v="113"/>
    <x v="500"/>
    <n v="149"/>
    <x v="210"/>
    <x v="4"/>
    <s v="New"/>
    <s v="Low Profit"/>
    <x v="2"/>
  </r>
  <r>
    <n v="1010"/>
    <s v="30-04-2025"/>
    <x v="3"/>
    <x v="0"/>
    <x v="0"/>
    <s v="Electronics"/>
    <n v="10"/>
    <n v="155"/>
    <x v="501"/>
    <n v="930"/>
    <x v="361"/>
    <x v="0"/>
    <s v="New"/>
    <s v="High Profit"/>
    <x v="4"/>
  </r>
  <r>
    <n v="1342"/>
    <s v="19-04-2025"/>
    <x v="3"/>
    <x v="2"/>
    <x v="3"/>
    <s v="Electronics"/>
    <n v="5"/>
    <n v="618"/>
    <x v="502"/>
    <n v="2472"/>
    <x v="219"/>
    <x v="4"/>
    <s v="New"/>
    <s v="High Profit"/>
    <x v="4"/>
  </r>
  <r>
    <n v="1429"/>
    <s v="19-01-2025"/>
    <x v="3"/>
    <x v="0"/>
    <x v="4"/>
    <s v="Electronics"/>
    <n v="10"/>
    <n v="255"/>
    <x v="503"/>
    <n v="1938"/>
    <x v="475"/>
    <x v="3"/>
    <s v="New"/>
    <s v="High Profit"/>
    <x v="3"/>
  </r>
  <r>
    <n v="1540"/>
    <s v="02-03-2025"/>
    <x v="3"/>
    <x v="3"/>
    <x v="5"/>
    <s v="Accessories"/>
    <n v="5"/>
    <n v="67"/>
    <x v="504"/>
    <n v="217"/>
    <x v="76"/>
    <x v="1"/>
    <s v="New"/>
    <s v="Low Profit"/>
    <x v="2"/>
  </r>
  <r>
    <n v="1541"/>
    <s v="24-01-2025"/>
    <x v="0"/>
    <x v="3"/>
    <x v="5"/>
    <s v="Accessories"/>
    <n v="8"/>
    <n v="262"/>
    <x v="505"/>
    <n v="1425"/>
    <x v="272"/>
    <x v="0"/>
    <s v="Returning"/>
    <s v="High Profit"/>
    <x v="3"/>
  </r>
  <r>
    <n v="1542"/>
    <s v="03-06-2025"/>
    <x v="1"/>
    <x v="1"/>
    <x v="0"/>
    <s v="Electronics"/>
    <n v="6"/>
    <n v="196"/>
    <x v="221"/>
    <n v="834"/>
    <x v="476"/>
    <x v="4"/>
    <s v="New"/>
    <s v="High Profit"/>
    <x v="5"/>
  </r>
  <r>
    <n v="1543"/>
    <s v="25-04-2025"/>
    <x v="3"/>
    <x v="2"/>
    <x v="1"/>
    <s v="Accessories"/>
    <n v="9"/>
    <n v="425"/>
    <x v="506"/>
    <n v="3021"/>
    <x v="364"/>
    <x v="4"/>
    <s v="New"/>
    <s v="High Profit"/>
    <x v="4"/>
  </r>
  <r>
    <n v="1544"/>
    <s v="03-04-2025"/>
    <x v="2"/>
    <x v="2"/>
    <x v="3"/>
    <s v="Electronics"/>
    <n v="5"/>
    <n v="168"/>
    <x v="38"/>
    <n v="579"/>
    <x v="315"/>
    <x v="3"/>
    <s v="Returning"/>
    <s v="High Profit"/>
    <x v="4"/>
  </r>
  <r>
    <n v="1545"/>
    <s v="31-01-2025"/>
    <x v="1"/>
    <x v="0"/>
    <x v="3"/>
    <s v="Electronics"/>
    <n v="4"/>
    <n v="456"/>
    <x v="507"/>
    <n v="1094"/>
    <x v="18"/>
    <x v="1"/>
    <s v="New"/>
    <s v="High Profit"/>
    <x v="3"/>
  </r>
  <r>
    <n v="1546"/>
    <s v="24-04-2025"/>
    <x v="2"/>
    <x v="1"/>
    <x v="4"/>
    <s v="Electronics"/>
    <n v="8"/>
    <n v="330"/>
    <x v="418"/>
    <n v="1953"/>
    <x v="477"/>
    <x v="4"/>
    <s v="Returning"/>
    <s v="High Profit"/>
    <x v="4"/>
  </r>
  <r>
    <n v="1547"/>
    <s v="14-06-2025"/>
    <x v="2"/>
    <x v="0"/>
    <x v="3"/>
    <s v="Electronics"/>
    <n v="5"/>
    <n v="493"/>
    <x v="508"/>
    <n v="1947"/>
    <x v="478"/>
    <x v="4"/>
    <s v="Returning"/>
    <s v="High Profit"/>
    <x v="5"/>
  </r>
  <r>
    <n v="1476"/>
    <s v="25-01-2025"/>
    <x v="3"/>
    <x v="1"/>
    <x v="4"/>
    <s v="Electronics"/>
    <n v="5"/>
    <n v="451"/>
    <x v="509"/>
    <n v="1646"/>
    <x v="42"/>
    <x v="2"/>
    <s v="New"/>
    <s v="High Profit"/>
    <x v="3"/>
  </r>
  <r>
    <n v="1549"/>
    <s v="08-05-2025"/>
    <x v="2"/>
    <x v="2"/>
    <x v="3"/>
    <s v="Electronics"/>
    <n v="6"/>
    <n v="341"/>
    <x v="510"/>
    <n v="1268"/>
    <x v="479"/>
    <x v="0"/>
    <s v="New"/>
    <s v="High Profit"/>
    <x v="1"/>
  </r>
  <r>
    <n v="1550"/>
    <s v="30-01-2025"/>
    <x v="2"/>
    <x v="0"/>
    <x v="2"/>
    <s v="Electronics"/>
    <n v="7"/>
    <n v="558"/>
    <x v="511"/>
    <n v="2890"/>
    <x v="410"/>
    <x v="2"/>
    <s v="New"/>
    <s v="High Profit"/>
    <x v="3"/>
  </r>
  <r>
    <n v="1551"/>
    <s v="03-02-2025"/>
    <x v="1"/>
    <x v="0"/>
    <x v="3"/>
    <s v="Electronics"/>
    <n v="2"/>
    <n v="780"/>
    <x v="512"/>
    <n v="1092"/>
    <x v="480"/>
    <x v="1"/>
    <s v="New"/>
    <s v="High Profit"/>
    <x v="0"/>
  </r>
  <r>
    <n v="1552"/>
    <s v="12-03-2025"/>
    <x v="1"/>
    <x v="2"/>
    <x v="0"/>
    <s v="Electronics"/>
    <n v="1"/>
    <n v="814"/>
    <x v="513"/>
    <n v="529"/>
    <x v="481"/>
    <x v="3"/>
    <s v="New"/>
    <s v="High Profit"/>
    <x v="2"/>
  </r>
  <r>
    <n v="1553"/>
    <s v="11-05-2025"/>
    <x v="1"/>
    <x v="1"/>
    <x v="1"/>
    <s v="Accessories"/>
    <n v="1"/>
    <n v="160"/>
    <x v="514"/>
    <n v="105"/>
    <x v="482"/>
    <x v="2"/>
    <s v="New"/>
    <s v="Low Profit"/>
    <x v="1"/>
  </r>
  <r>
    <n v="1348"/>
    <s v="26-04-2025"/>
    <x v="3"/>
    <x v="2"/>
    <x v="4"/>
    <s v="Electronics"/>
    <n v="3"/>
    <n v="628"/>
    <x v="515"/>
    <n v="1299"/>
    <x v="483"/>
    <x v="2"/>
    <s v="Returning"/>
    <s v="High Profit"/>
    <x v="4"/>
  </r>
  <r>
    <n v="1555"/>
    <s v="21-01-2025"/>
    <x v="2"/>
    <x v="1"/>
    <x v="3"/>
    <s v="Electronics"/>
    <n v="7"/>
    <n v="533"/>
    <x v="516"/>
    <n v="2537"/>
    <x v="239"/>
    <x v="0"/>
    <s v="New"/>
    <s v="High Profit"/>
    <x v="3"/>
  </r>
  <r>
    <n v="1556"/>
    <s v="02-03-2025"/>
    <x v="3"/>
    <x v="3"/>
    <x v="5"/>
    <s v="Accessories"/>
    <n v="3"/>
    <n v="527"/>
    <x v="517"/>
    <n v="980"/>
    <x v="484"/>
    <x v="1"/>
    <s v="Returning"/>
    <s v="High Profit"/>
    <x v="2"/>
  </r>
  <r>
    <n v="1557"/>
    <s v="26-02-2025"/>
    <x v="3"/>
    <x v="0"/>
    <x v="5"/>
    <s v="Accessories"/>
    <n v="2"/>
    <n v="160"/>
    <x v="518"/>
    <n v="204"/>
    <x v="485"/>
    <x v="2"/>
    <s v="New"/>
    <s v="Low Profit"/>
    <x v="0"/>
  </r>
  <r>
    <n v="1558"/>
    <s v="21-04-2025"/>
    <x v="0"/>
    <x v="3"/>
    <x v="4"/>
    <s v="Electronics"/>
    <n v="8"/>
    <n v="469"/>
    <x v="519"/>
    <n v="2438"/>
    <x v="486"/>
    <x v="0"/>
    <s v="New"/>
    <s v="High Profit"/>
    <x v="4"/>
  </r>
  <r>
    <n v="1734"/>
    <s v="12-01-2025"/>
    <x v="3"/>
    <x v="1"/>
    <x v="4"/>
    <s v="Electronics"/>
    <n v="2"/>
    <n v="833"/>
    <x v="391"/>
    <n v="1082"/>
    <x v="487"/>
    <x v="3"/>
    <s v="Returning"/>
    <s v="High Profit"/>
    <x v="3"/>
  </r>
  <r>
    <n v="1560"/>
    <s v="24-03-2025"/>
    <x v="1"/>
    <x v="0"/>
    <x v="4"/>
    <s v="Electronics"/>
    <n v="10"/>
    <n v="255"/>
    <x v="503"/>
    <n v="2014"/>
    <x v="488"/>
    <x v="3"/>
    <s v="New"/>
    <s v="High Profit"/>
    <x v="2"/>
  </r>
  <r>
    <n v="1045"/>
    <s v="21-02-2025"/>
    <x v="3"/>
    <x v="3"/>
    <x v="0"/>
    <s v="Electronics"/>
    <n v="3"/>
    <n v="859"/>
    <x v="520"/>
    <n v="2010"/>
    <x v="195"/>
    <x v="4"/>
    <s v="Returning"/>
    <s v="High Profit"/>
    <x v="0"/>
  </r>
  <r>
    <n v="1562"/>
    <s v="19-02-2025"/>
    <x v="3"/>
    <x v="3"/>
    <x v="1"/>
    <s v="Accessories"/>
    <n v="8"/>
    <n v="425"/>
    <x v="521"/>
    <n v="2516"/>
    <x v="489"/>
    <x v="4"/>
    <s v="New"/>
    <s v="High Profit"/>
    <x v="0"/>
  </r>
  <r>
    <n v="1563"/>
    <s v="14-04-2025"/>
    <x v="0"/>
    <x v="0"/>
    <x v="5"/>
    <s v="Accessories"/>
    <n v="3"/>
    <n v="914"/>
    <x v="522"/>
    <n v="1919"/>
    <x v="490"/>
    <x v="4"/>
    <s v="Returning"/>
    <s v="High Profit"/>
    <x v="4"/>
  </r>
  <r>
    <n v="1564"/>
    <s v="06-04-2025"/>
    <x v="1"/>
    <x v="1"/>
    <x v="1"/>
    <s v="Accessories"/>
    <n v="2"/>
    <n v="143"/>
    <x v="523"/>
    <n v="188"/>
    <x v="491"/>
    <x v="0"/>
    <s v="New"/>
    <s v="Low Profit"/>
    <x v="4"/>
  </r>
  <r>
    <n v="1565"/>
    <s v="16-04-2025"/>
    <x v="2"/>
    <x v="1"/>
    <x v="2"/>
    <s v="Electronics"/>
    <n v="3"/>
    <n v="896"/>
    <x v="524"/>
    <n v="1720"/>
    <x v="43"/>
    <x v="3"/>
    <s v="New"/>
    <s v="High Profit"/>
    <x v="4"/>
  </r>
  <r>
    <n v="1566"/>
    <s v="10-06-2025"/>
    <x v="0"/>
    <x v="2"/>
    <x v="3"/>
    <s v="Electronics"/>
    <n v="8"/>
    <n v="497"/>
    <x v="525"/>
    <n v="3141"/>
    <x v="492"/>
    <x v="4"/>
    <s v="New"/>
    <s v="High Profit"/>
    <x v="5"/>
  </r>
  <r>
    <n v="1396"/>
    <s v="24-01-2025"/>
    <x v="3"/>
    <x v="0"/>
    <x v="3"/>
    <s v="Electronics"/>
    <n v="10"/>
    <n v="164"/>
    <x v="526"/>
    <n v="1082"/>
    <x v="493"/>
    <x v="2"/>
    <s v="New"/>
    <s v="High Profit"/>
    <x v="3"/>
  </r>
  <r>
    <n v="1568"/>
    <s v="27-06-2025"/>
    <x v="0"/>
    <x v="3"/>
    <x v="4"/>
    <s v="Electronics"/>
    <n v="2"/>
    <n v="296"/>
    <x v="527"/>
    <n v="467"/>
    <x v="351"/>
    <x v="3"/>
    <s v="Returning"/>
    <s v="Low Profit"/>
    <x v="5"/>
  </r>
  <r>
    <n v="1021"/>
    <s v="18-04-2025"/>
    <x v="3"/>
    <x v="1"/>
    <x v="4"/>
    <s v="Electronics"/>
    <n v="2"/>
    <n v="808"/>
    <x v="454"/>
    <n v="1115"/>
    <x v="494"/>
    <x v="2"/>
    <s v="Returning"/>
    <s v="High Profit"/>
    <x v="4"/>
  </r>
  <r>
    <n v="1570"/>
    <s v="28-01-2025"/>
    <x v="1"/>
    <x v="1"/>
    <x v="5"/>
    <s v="Accessories"/>
    <n v="1"/>
    <n v="413"/>
    <x v="528"/>
    <n v="301"/>
    <x v="395"/>
    <x v="1"/>
    <s v="Returning"/>
    <s v="Low Profit"/>
    <x v="3"/>
  </r>
  <r>
    <n v="1571"/>
    <s v="02-06-2025"/>
    <x v="2"/>
    <x v="2"/>
    <x v="5"/>
    <s v="Accessories"/>
    <n v="8"/>
    <n v="950"/>
    <x v="529"/>
    <n v="5928"/>
    <x v="495"/>
    <x v="1"/>
    <s v="Returning"/>
    <s v="High Profit"/>
    <x v="5"/>
  </r>
  <r>
    <n v="1572"/>
    <s v="01-01-2025"/>
    <x v="2"/>
    <x v="2"/>
    <x v="1"/>
    <s v="Accessories"/>
    <n v="2"/>
    <n v="966"/>
    <x v="530"/>
    <n v="1178"/>
    <x v="496"/>
    <x v="4"/>
    <s v="New"/>
    <s v="High Profit"/>
    <x v="3"/>
  </r>
  <r>
    <n v="1573"/>
    <s v="29-04-2025"/>
    <x v="1"/>
    <x v="2"/>
    <x v="4"/>
    <s v="Electronics"/>
    <n v="1"/>
    <n v="349"/>
    <x v="531"/>
    <n v="212"/>
    <x v="188"/>
    <x v="3"/>
    <s v="New"/>
    <s v="Low Profit"/>
    <x v="4"/>
  </r>
  <r>
    <n v="1574"/>
    <s v="30-04-2025"/>
    <x v="1"/>
    <x v="2"/>
    <x v="0"/>
    <s v="Electronics"/>
    <n v="10"/>
    <n v="969"/>
    <x v="532"/>
    <n v="6395"/>
    <x v="497"/>
    <x v="1"/>
    <s v="Returning"/>
    <s v="High Profit"/>
    <x v="4"/>
  </r>
  <r>
    <n v="1575"/>
    <s v="30-01-2025"/>
    <x v="1"/>
    <x v="0"/>
    <x v="3"/>
    <s v="Electronics"/>
    <n v="4"/>
    <n v="425"/>
    <x v="533"/>
    <n v="1207"/>
    <x v="498"/>
    <x v="4"/>
    <s v="Returning"/>
    <s v="High Profit"/>
    <x v="3"/>
  </r>
  <r>
    <n v="1576"/>
    <s v="08-04-2025"/>
    <x v="3"/>
    <x v="0"/>
    <x v="1"/>
    <s v="Accessories"/>
    <n v="4"/>
    <n v="691"/>
    <x v="534"/>
    <n v="1658"/>
    <x v="212"/>
    <x v="4"/>
    <s v="Returning"/>
    <s v="High Profit"/>
    <x v="4"/>
  </r>
  <r>
    <n v="1577"/>
    <s v="30-01-2025"/>
    <x v="1"/>
    <x v="3"/>
    <x v="1"/>
    <s v="Accessories"/>
    <n v="3"/>
    <n v="660"/>
    <x v="535"/>
    <n v="1326"/>
    <x v="431"/>
    <x v="4"/>
    <s v="New"/>
    <s v="High Profit"/>
    <x v="3"/>
  </r>
  <r>
    <n v="1578"/>
    <s v="28-02-2025"/>
    <x v="3"/>
    <x v="1"/>
    <x v="1"/>
    <s v="Accessories"/>
    <n v="7"/>
    <n v="219"/>
    <x v="536"/>
    <n v="1226"/>
    <x v="499"/>
    <x v="4"/>
    <s v="New"/>
    <s v="High Profit"/>
    <x v="0"/>
  </r>
  <r>
    <n v="1279"/>
    <s v="28-04-2025"/>
    <x v="3"/>
    <x v="2"/>
    <x v="2"/>
    <s v="Electronics"/>
    <n v="9"/>
    <n v="250"/>
    <x v="537"/>
    <n v="1755"/>
    <x v="500"/>
    <x v="1"/>
    <s v="New"/>
    <s v="High Profit"/>
    <x v="4"/>
  </r>
  <r>
    <n v="1580"/>
    <s v="27-06-2025"/>
    <x v="1"/>
    <x v="0"/>
    <x v="4"/>
    <s v="Electronics"/>
    <n v="6"/>
    <n v="183"/>
    <x v="538"/>
    <n v="702"/>
    <x v="501"/>
    <x v="3"/>
    <s v="Returning"/>
    <s v="High Profit"/>
    <x v="5"/>
  </r>
  <r>
    <n v="1581"/>
    <s v="26-06-2025"/>
    <x v="1"/>
    <x v="0"/>
    <x v="3"/>
    <s v="Electronics"/>
    <n v="4"/>
    <n v="416"/>
    <x v="539"/>
    <n v="1331"/>
    <x v="502"/>
    <x v="3"/>
    <s v="Returning"/>
    <s v="High Profit"/>
    <x v="5"/>
  </r>
  <r>
    <n v="1582"/>
    <s v="09-06-2025"/>
    <x v="2"/>
    <x v="1"/>
    <x v="5"/>
    <s v="Accessories"/>
    <n v="5"/>
    <n v="296"/>
    <x v="540"/>
    <n v="991"/>
    <x v="387"/>
    <x v="1"/>
    <s v="Returning"/>
    <s v="High Profit"/>
    <x v="5"/>
  </r>
  <r>
    <n v="1583"/>
    <s v="18-01-2025"/>
    <x v="2"/>
    <x v="3"/>
    <x v="4"/>
    <s v="Electronics"/>
    <n v="4"/>
    <n v="436"/>
    <x v="541"/>
    <n v="1116"/>
    <x v="503"/>
    <x v="2"/>
    <s v="New"/>
    <s v="High Profit"/>
    <x v="3"/>
  </r>
  <r>
    <n v="1584"/>
    <s v="30-04-2025"/>
    <x v="3"/>
    <x v="1"/>
    <x v="1"/>
    <s v="Accessories"/>
    <n v="8"/>
    <n v="62"/>
    <x v="542"/>
    <n v="307"/>
    <x v="359"/>
    <x v="4"/>
    <s v="Returning"/>
    <s v="High Profit"/>
    <x v="4"/>
  </r>
  <r>
    <n v="1585"/>
    <s v="13-01-2025"/>
    <x v="2"/>
    <x v="0"/>
    <x v="3"/>
    <s v="Electronics"/>
    <n v="7"/>
    <n v="683"/>
    <x v="172"/>
    <n v="3394"/>
    <x v="249"/>
    <x v="1"/>
    <s v="Returning"/>
    <s v="High Profit"/>
    <x v="3"/>
  </r>
  <r>
    <n v="1156"/>
    <s v="08-03-2025"/>
    <x v="3"/>
    <x v="0"/>
    <x v="3"/>
    <s v="Electronics"/>
    <n v="10"/>
    <n v="127"/>
    <x v="543"/>
    <n v="787"/>
    <x v="504"/>
    <x v="3"/>
    <s v="New"/>
    <s v="High Profit"/>
    <x v="2"/>
  </r>
  <r>
    <n v="1587"/>
    <s v="10-03-2025"/>
    <x v="1"/>
    <x v="0"/>
    <x v="0"/>
    <s v="Electronics"/>
    <n v="6"/>
    <n v="744"/>
    <x v="544"/>
    <n v="3437"/>
    <x v="505"/>
    <x v="0"/>
    <s v="New"/>
    <s v="High Profit"/>
    <x v="2"/>
  </r>
  <r>
    <n v="1588"/>
    <s v="07-02-2025"/>
    <x v="1"/>
    <x v="0"/>
    <x v="3"/>
    <s v="Electronics"/>
    <n v="7"/>
    <n v="504"/>
    <x v="545"/>
    <n v="2575"/>
    <x v="506"/>
    <x v="1"/>
    <s v="Returning"/>
    <s v="High Profit"/>
    <x v="0"/>
  </r>
  <r>
    <n v="1589"/>
    <s v="13-02-2025"/>
    <x v="0"/>
    <x v="1"/>
    <x v="4"/>
    <s v="Electronics"/>
    <n v="4"/>
    <n v="199"/>
    <x v="546"/>
    <n v="517"/>
    <x v="409"/>
    <x v="0"/>
    <s v="Returning"/>
    <s v="High Profit"/>
    <x v="0"/>
  </r>
  <r>
    <n v="1590"/>
    <s v="22-03-2025"/>
    <x v="0"/>
    <x v="2"/>
    <x v="0"/>
    <s v="Electronics"/>
    <n v="1"/>
    <n v="472"/>
    <x v="547"/>
    <n v="344"/>
    <x v="507"/>
    <x v="0"/>
    <s v="Returning"/>
    <s v="Low Profit"/>
    <x v="2"/>
  </r>
  <r>
    <n v="1591"/>
    <s v="08-01-2025"/>
    <x v="3"/>
    <x v="2"/>
    <x v="1"/>
    <s v="Accessories"/>
    <n v="9"/>
    <n v="664"/>
    <x v="548"/>
    <n v="4123"/>
    <x v="462"/>
    <x v="0"/>
    <s v="New"/>
    <s v="High Profit"/>
    <x v="3"/>
  </r>
  <r>
    <n v="1592"/>
    <s v="12-02-2025"/>
    <x v="1"/>
    <x v="1"/>
    <x v="5"/>
    <s v="Accessories"/>
    <n v="8"/>
    <n v="484"/>
    <x v="549"/>
    <n v="2439"/>
    <x v="508"/>
    <x v="4"/>
    <s v="New"/>
    <s v="High Profit"/>
    <x v="0"/>
  </r>
  <r>
    <n v="1593"/>
    <s v="31-05-2025"/>
    <x v="1"/>
    <x v="3"/>
    <x v="0"/>
    <s v="Electronics"/>
    <n v="8"/>
    <n v="256"/>
    <x v="550"/>
    <n v="1617"/>
    <x v="509"/>
    <x v="1"/>
    <s v="Returning"/>
    <s v="High Profit"/>
    <x v="1"/>
  </r>
  <r>
    <n v="1594"/>
    <s v="05-01-2025"/>
    <x v="2"/>
    <x v="3"/>
    <x v="4"/>
    <s v="Electronics"/>
    <n v="6"/>
    <n v="603"/>
    <x v="551"/>
    <n v="2677"/>
    <x v="510"/>
    <x v="2"/>
    <s v="Returning"/>
    <s v="High Profit"/>
    <x v="3"/>
  </r>
  <r>
    <n v="1595"/>
    <s v="06-05-2025"/>
    <x v="1"/>
    <x v="3"/>
    <x v="1"/>
    <s v="Accessories"/>
    <n v="2"/>
    <n v="380"/>
    <x v="552"/>
    <n v="547"/>
    <x v="511"/>
    <x v="1"/>
    <s v="Returning"/>
    <s v="High Profit"/>
    <x v="1"/>
  </r>
  <r>
    <n v="1596"/>
    <s v="08-06-2025"/>
    <x v="2"/>
    <x v="3"/>
    <x v="4"/>
    <s v="Electronics"/>
    <n v="4"/>
    <n v="913"/>
    <x v="553"/>
    <n v="2519"/>
    <x v="457"/>
    <x v="0"/>
    <s v="Returning"/>
    <s v="High Profit"/>
    <x v="5"/>
  </r>
  <r>
    <n v="1597"/>
    <s v="01-01-2025"/>
    <x v="2"/>
    <x v="0"/>
    <x v="3"/>
    <s v="Electronics"/>
    <n v="8"/>
    <n v="156"/>
    <x v="299"/>
    <n v="748"/>
    <x v="512"/>
    <x v="0"/>
    <s v="Returning"/>
    <s v="High Profit"/>
    <x v="3"/>
  </r>
  <r>
    <n v="1598"/>
    <s v="11-06-2025"/>
    <x v="2"/>
    <x v="1"/>
    <x v="1"/>
    <s v="Accessories"/>
    <n v="9"/>
    <n v="443"/>
    <x v="554"/>
    <n v="2751"/>
    <x v="513"/>
    <x v="0"/>
    <s v="New"/>
    <s v="High Profit"/>
    <x v="5"/>
  </r>
  <r>
    <n v="1599"/>
    <s v="13-05-2025"/>
    <x v="0"/>
    <x v="2"/>
    <x v="1"/>
    <s v="Accessories"/>
    <n v="1"/>
    <n v="792"/>
    <x v="555"/>
    <n v="554"/>
    <x v="514"/>
    <x v="0"/>
    <s v="Returning"/>
    <s v="High Profit"/>
    <x v="1"/>
  </r>
  <r>
    <n v="1600"/>
    <s v="07-01-2025"/>
    <x v="2"/>
    <x v="3"/>
    <x v="1"/>
    <s v="Accessories"/>
    <n v="6"/>
    <n v="260"/>
    <x v="512"/>
    <n v="1107"/>
    <x v="388"/>
    <x v="2"/>
    <s v="Returning"/>
    <s v="High Profit"/>
    <x v="3"/>
  </r>
  <r>
    <n v="1601"/>
    <s v="13-04-2025"/>
    <x v="2"/>
    <x v="0"/>
    <x v="3"/>
    <s v="Electronics"/>
    <n v="4"/>
    <n v="638"/>
    <x v="556"/>
    <n v="1633"/>
    <x v="515"/>
    <x v="0"/>
    <s v="Returning"/>
    <s v="High Profit"/>
    <x v="4"/>
  </r>
  <r>
    <n v="1923"/>
    <s v="27-05-2025"/>
    <x v="3"/>
    <x v="0"/>
    <x v="4"/>
    <s v="Electronics"/>
    <n v="10"/>
    <n v="121"/>
    <x v="557"/>
    <n v="738"/>
    <x v="516"/>
    <x v="2"/>
    <s v="New"/>
    <s v="High Profit"/>
    <x v="1"/>
  </r>
  <r>
    <n v="1603"/>
    <s v="05-05-2025"/>
    <x v="3"/>
    <x v="0"/>
    <x v="5"/>
    <s v="Accessories"/>
    <n v="9"/>
    <n v="704"/>
    <x v="558"/>
    <n v="4181"/>
    <x v="517"/>
    <x v="0"/>
    <s v="New"/>
    <s v="High Profit"/>
    <x v="1"/>
  </r>
  <r>
    <n v="1604"/>
    <s v="20-03-2025"/>
    <x v="2"/>
    <x v="1"/>
    <x v="1"/>
    <s v="Accessories"/>
    <n v="2"/>
    <n v="236"/>
    <x v="547"/>
    <n v="354"/>
    <x v="76"/>
    <x v="3"/>
    <s v="Returning"/>
    <s v="Low Profit"/>
    <x v="2"/>
  </r>
  <r>
    <n v="1605"/>
    <s v="20-02-2025"/>
    <x v="2"/>
    <x v="1"/>
    <x v="0"/>
    <s v="Electronics"/>
    <n v="4"/>
    <n v="846"/>
    <x v="559"/>
    <n v="2402"/>
    <x v="518"/>
    <x v="0"/>
    <s v="Returning"/>
    <s v="High Profit"/>
    <x v="0"/>
  </r>
  <r>
    <n v="1606"/>
    <s v="27-06-2025"/>
    <x v="1"/>
    <x v="3"/>
    <x v="2"/>
    <s v="Electronics"/>
    <n v="3"/>
    <n v="891"/>
    <x v="560"/>
    <n v="2004"/>
    <x v="519"/>
    <x v="0"/>
    <s v="Returning"/>
    <s v="High Profit"/>
    <x v="5"/>
  </r>
  <r>
    <n v="1607"/>
    <s v="26-03-2025"/>
    <x v="3"/>
    <x v="3"/>
    <x v="1"/>
    <s v="Accessories"/>
    <n v="9"/>
    <n v="382"/>
    <x v="561"/>
    <n v="2750"/>
    <x v="520"/>
    <x v="0"/>
    <s v="Returning"/>
    <s v="High Profit"/>
    <x v="2"/>
  </r>
  <r>
    <n v="1579"/>
    <s v="02-04-2025"/>
    <x v="3"/>
    <x v="1"/>
    <x v="3"/>
    <s v="Electronics"/>
    <n v="4"/>
    <n v="459"/>
    <x v="562"/>
    <n v="1377"/>
    <x v="521"/>
    <x v="3"/>
    <s v="New"/>
    <s v="High Profit"/>
    <x v="4"/>
  </r>
  <r>
    <n v="1609"/>
    <s v="09-02-2025"/>
    <x v="0"/>
    <x v="2"/>
    <x v="3"/>
    <s v="Electronics"/>
    <n v="2"/>
    <n v="53"/>
    <x v="563"/>
    <n v="66"/>
    <x v="48"/>
    <x v="4"/>
    <s v="Returning"/>
    <s v="Low Profit"/>
    <x v="0"/>
  </r>
  <r>
    <n v="1610"/>
    <s v="26-01-2025"/>
    <x v="1"/>
    <x v="3"/>
    <x v="0"/>
    <s v="Electronics"/>
    <n v="7"/>
    <n v="93"/>
    <x v="564"/>
    <n v="390"/>
    <x v="315"/>
    <x v="2"/>
    <s v="Returning"/>
    <s v="High Profit"/>
    <x v="3"/>
  </r>
  <r>
    <n v="1611"/>
    <s v="16-04-2025"/>
    <x v="0"/>
    <x v="1"/>
    <x v="2"/>
    <s v="Electronics"/>
    <n v="10"/>
    <n v="453"/>
    <x v="565"/>
    <n v="2718"/>
    <x v="522"/>
    <x v="0"/>
    <s v="New"/>
    <s v="High Profit"/>
    <x v="4"/>
  </r>
  <r>
    <n v="1612"/>
    <s v="31-03-2025"/>
    <x v="0"/>
    <x v="1"/>
    <x v="4"/>
    <s v="Electronics"/>
    <n v="3"/>
    <n v="126"/>
    <x v="566"/>
    <n v="226"/>
    <x v="523"/>
    <x v="3"/>
    <s v="New"/>
    <s v="Low Profit"/>
    <x v="2"/>
  </r>
  <r>
    <n v="1933"/>
    <s v="04-04-2025"/>
    <x v="3"/>
    <x v="0"/>
    <x v="4"/>
    <s v="Electronics"/>
    <n v="10"/>
    <n v="118"/>
    <x v="567"/>
    <n v="731"/>
    <x v="524"/>
    <x v="2"/>
    <s v="New"/>
    <s v="High Profit"/>
    <x v="4"/>
  </r>
  <r>
    <n v="1614"/>
    <s v="03-03-2025"/>
    <x v="0"/>
    <x v="1"/>
    <x v="2"/>
    <s v="Electronics"/>
    <n v="2"/>
    <n v="607"/>
    <x v="568"/>
    <n v="837"/>
    <x v="525"/>
    <x v="3"/>
    <s v="Returning"/>
    <s v="High Profit"/>
    <x v="2"/>
  </r>
  <r>
    <n v="1615"/>
    <s v="19-06-2025"/>
    <x v="0"/>
    <x v="0"/>
    <x v="0"/>
    <s v="Electronics"/>
    <n v="10"/>
    <n v="747"/>
    <x v="569"/>
    <n v="5976"/>
    <x v="526"/>
    <x v="4"/>
    <s v="New"/>
    <s v="High Profit"/>
    <x v="5"/>
  </r>
  <r>
    <n v="1616"/>
    <s v="16-05-2025"/>
    <x v="0"/>
    <x v="2"/>
    <x v="0"/>
    <s v="Electronics"/>
    <n v="6"/>
    <n v="528"/>
    <x v="570"/>
    <n v="1932"/>
    <x v="513"/>
    <x v="1"/>
    <s v="New"/>
    <s v="High Profit"/>
    <x v="1"/>
  </r>
  <r>
    <n v="1394"/>
    <s v="03-01-2025"/>
    <x v="3"/>
    <x v="0"/>
    <x v="2"/>
    <s v="Electronics"/>
    <n v="3"/>
    <n v="566"/>
    <x v="571"/>
    <n v="1256"/>
    <x v="527"/>
    <x v="3"/>
    <s v="Returning"/>
    <s v="High Profit"/>
    <x v="3"/>
  </r>
  <r>
    <n v="1618"/>
    <s v="09-03-2025"/>
    <x v="3"/>
    <x v="1"/>
    <x v="5"/>
    <s v="Accessories"/>
    <n v="3"/>
    <n v="950"/>
    <x v="572"/>
    <n v="1909"/>
    <x v="510"/>
    <x v="0"/>
    <s v="Returning"/>
    <s v="High Profit"/>
    <x v="2"/>
  </r>
  <r>
    <n v="1067"/>
    <s v="08-06-2025"/>
    <x v="3"/>
    <x v="3"/>
    <x v="0"/>
    <s v="Electronics"/>
    <n v="8"/>
    <n v="184"/>
    <x v="573"/>
    <n v="1045"/>
    <x v="528"/>
    <x v="3"/>
    <s v="New"/>
    <s v="High Profit"/>
    <x v="5"/>
  </r>
  <r>
    <n v="1620"/>
    <s v="22-02-2025"/>
    <x v="0"/>
    <x v="3"/>
    <x v="5"/>
    <s v="Accessories"/>
    <n v="8"/>
    <n v="299"/>
    <x v="574"/>
    <n v="1506"/>
    <x v="299"/>
    <x v="0"/>
    <s v="New"/>
    <s v="High Profit"/>
    <x v="0"/>
  </r>
  <r>
    <n v="1621"/>
    <s v="31-05-2025"/>
    <x v="3"/>
    <x v="2"/>
    <x v="1"/>
    <s v="Accessories"/>
    <n v="7"/>
    <n v="796"/>
    <x v="575"/>
    <n v="4290"/>
    <x v="529"/>
    <x v="1"/>
    <s v="Returning"/>
    <s v="High Profit"/>
    <x v="1"/>
  </r>
  <r>
    <n v="1622"/>
    <s v="01-02-2025"/>
    <x v="2"/>
    <x v="3"/>
    <x v="5"/>
    <s v="Accessories"/>
    <n v="3"/>
    <n v="400"/>
    <x v="576"/>
    <n v="948"/>
    <x v="134"/>
    <x v="3"/>
    <s v="New"/>
    <s v="High Profit"/>
    <x v="0"/>
  </r>
  <r>
    <n v="1623"/>
    <s v="07-03-2025"/>
    <x v="0"/>
    <x v="1"/>
    <x v="2"/>
    <s v="Electronics"/>
    <n v="5"/>
    <n v="91"/>
    <x v="577"/>
    <n v="327"/>
    <x v="507"/>
    <x v="1"/>
    <s v="New"/>
    <s v="Low Profit"/>
    <x v="2"/>
  </r>
  <r>
    <n v="1559"/>
    <s v="25-06-2025"/>
    <x v="3"/>
    <x v="1"/>
    <x v="3"/>
    <s v="Electronics"/>
    <n v="3"/>
    <n v="526"/>
    <x v="578"/>
    <n v="1151"/>
    <x v="528"/>
    <x v="4"/>
    <s v="Returning"/>
    <s v="High Profit"/>
    <x v="5"/>
  </r>
  <r>
    <n v="1625"/>
    <s v="20-05-2025"/>
    <x v="3"/>
    <x v="0"/>
    <x v="1"/>
    <s v="Accessories"/>
    <n v="6"/>
    <n v="164"/>
    <x v="579"/>
    <n v="659"/>
    <x v="530"/>
    <x v="2"/>
    <s v="Returning"/>
    <s v="High Profit"/>
    <x v="1"/>
  </r>
  <r>
    <n v="1626"/>
    <s v="02-01-2025"/>
    <x v="0"/>
    <x v="2"/>
    <x v="2"/>
    <s v="Electronics"/>
    <n v="4"/>
    <n v="207"/>
    <x v="580"/>
    <n v="662"/>
    <x v="98"/>
    <x v="3"/>
    <s v="Returning"/>
    <s v="Low Profit"/>
    <x v="3"/>
  </r>
  <r>
    <n v="1627"/>
    <s v="17-03-2025"/>
    <x v="2"/>
    <x v="0"/>
    <x v="5"/>
    <s v="Accessories"/>
    <n v="7"/>
    <n v="319"/>
    <x v="581"/>
    <n v="1451"/>
    <x v="531"/>
    <x v="3"/>
    <s v="New"/>
    <s v="High Profit"/>
    <x v="2"/>
  </r>
  <r>
    <n v="1628"/>
    <s v="16-03-2025"/>
    <x v="1"/>
    <x v="2"/>
    <x v="0"/>
    <s v="Electronics"/>
    <n v="3"/>
    <n v="887"/>
    <x v="582"/>
    <n v="1889"/>
    <x v="320"/>
    <x v="0"/>
    <s v="New"/>
    <s v="High Profit"/>
    <x v="2"/>
  </r>
  <r>
    <n v="1629"/>
    <s v="15-05-2025"/>
    <x v="2"/>
    <x v="2"/>
    <x v="3"/>
    <s v="Electronics"/>
    <n v="3"/>
    <n v="346"/>
    <x v="583"/>
    <n v="633"/>
    <x v="532"/>
    <x v="2"/>
    <s v="Returning"/>
    <s v="High Profit"/>
    <x v="1"/>
  </r>
  <r>
    <n v="1630"/>
    <s v="06-01-2025"/>
    <x v="1"/>
    <x v="0"/>
    <x v="1"/>
    <s v="Accessories"/>
    <n v="5"/>
    <n v="402"/>
    <x v="584"/>
    <n v="1547"/>
    <x v="533"/>
    <x v="4"/>
    <s v="Returning"/>
    <s v="High Profit"/>
    <x v="3"/>
  </r>
  <r>
    <n v="1631"/>
    <s v="17-06-2025"/>
    <x v="3"/>
    <x v="2"/>
    <x v="5"/>
    <s v="Accessories"/>
    <n v="8"/>
    <n v="454"/>
    <x v="585"/>
    <n v="2832"/>
    <x v="534"/>
    <x v="3"/>
    <s v="Returning"/>
    <s v="High Profit"/>
    <x v="5"/>
  </r>
  <r>
    <n v="1632"/>
    <s v="24-03-2025"/>
    <x v="2"/>
    <x v="2"/>
    <x v="2"/>
    <s v="Electronics"/>
    <n v="7"/>
    <n v="139"/>
    <x v="586"/>
    <n v="739"/>
    <x v="453"/>
    <x v="1"/>
    <s v="Returning"/>
    <s v="High Profit"/>
    <x v="2"/>
  </r>
  <r>
    <n v="1633"/>
    <s v="06-05-2025"/>
    <x v="0"/>
    <x v="1"/>
    <x v="4"/>
    <s v="Electronics"/>
    <n v="4"/>
    <n v="236"/>
    <x v="587"/>
    <n v="641"/>
    <x v="535"/>
    <x v="2"/>
    <s v="New"/>
    <s v="High Profit"/>
    <x v="1"/>
  </r>
  <r>
    <n v="1634"/>
    <s v="09-03-2025"/>
    <x v="0"/>
    <x v="2"/>
    <x v="5"/>
    <s v="Accessories"/>
    <n v="6"/>
    <n v="495"/>
    <x v="90"/>
    <n v="2376"/>
    <x v="536"/>
    <x v="3"/>
    <s v="New"/>
    <s v="High Profit"/>
    <x v="2"/>
  </r>
  <r>
    <n v="1635"/>
    <s v="18-04-2025"/>
    <x v="1"/>
    <x v="2"/>
    <x v="0"/>
    <s v="Electronics"/>
    <n v="6"/>
    <n v="628"/>
    <x v="588"/>
    <n v="2562"/>
    <x v="537"/>
    <x v="2"/>
    <s v="New"/>
    <s v="High Profit"/>
    <x v="4"/>
  </r>
  <r>
    <n v="1636"/>
    <s v="02-03-2025"/>
    <x v="0"/>
    <x v="2"/>
    <x v="3"/>
    <s v="Electronics"/>
    <n v="3"/>
    <n v="424"/>
    <x v="589"/>
    <n v="1004"/>
    <x v="538"/>
    <x v="2"/>
    <s v="Returning"/>
    <s v="High Profit"/>
    <x v="2"/>
  </r>
  <r>
    <n v="1176"/>
    <s v="15-01-2025"/>
    <x v="3"/>
    <x v="2"/>
    <x v="0"/>
    <s v="Electronics"/>
    <n v="7"/>
    <n v="224"/>
    <x v="590"/>
    <n v="1144"/>
    <x v="539"/>
    <x v="0"/>
    <s v="Returning"/>
    <s v="High Profit"/>
    <x v="3"/>
  </r>
  <r>
    <n v="1638"/>
    <s v="30-03-2025"/>
    <x v="2"/>
    <x v="3"/>
    <x v="3"/>
    <s v="Electronics"/>
    <n v="9"/>
    <n v="488"/>
    <x v="286"/>
    <n v="3337"/>
    <x v="540"/>
    <x v="1"/>
    <s v="Returning"/>
    <s v="High Profit"/>
    <x v="2"/>
  </r>
  <r>
    <n v="1639"/>
    <s v="26-05-2025"/>
    <x v="2"/>
    <x v="3"/>
    <x v="0"/>
    <s v="Electronics"/>
    <n v="3"/>
    <n v="646"/>
    <x v="591"/>
    <n v="1162"/>
    <x v="541"/>
    <x v="4"/>
    <s v="Returning"/>
    <s v="High Profit"/>
    <x v="1"/>
  </r>
  <r>
    <n v="1640"/>
    <s v="26-01-2025"/>
    <x v="1"/>
    <x v="1"/>
    <x v="4"/>
    <s v="Electronics"/>
    <n v="1"/>
    <n v="624"/>
    <x v="592"/>
    <n v="468"/>
    <x v="542"/>
    <x v="4"/>
    <s v="New"/>
    <s v="Low Profit"/>
    <x v="3"/>
  </r>
  <r>
    <n v="1641"/>
    <s v="16-05-2025"/>
    <x v="0"/>
    <x v="3"/>
    <x v="4"/>
    <s v="Electronics"/>
    <n v="7"/>
    <n v="915"/>
    <x v="593"/>
    <n v="4611"/>
    <x v="543"/>
    <x v="4"/>
    <s v="Returning"/>
    <s v="High Profit"/>
    <x v="1"/>
  </r>
  <r>
    <n v="1642"/>
    <s v="22-04-2025"/>
    <x v="2"/>
    <x v="1"/>
    <x v="5"/>
    <s v="Accessories"/>
    <n v="6"/>
    <n v="401"/>
    <x v="594"/>
    <n v="1756"/>
    <x v="544"/>
    <x v="3"/>
    <s v="New"/>
    <s v="High Profit"/>
    <x v="4"/>
  </r>
  <r>
    <n v="1643"/>
    <s v="23-01-2025"/>
    <x v="0"/>
    <x v="0"/>
    <x v="0"/>
    <s v="Electronics"/>
    <n v="9"/>
    <n v="990"/>
    <x v="595"/>
    <n v="6058"/>
    <x v="545"/>
    <x v="3"/>
    <s v="New"/>
    <s v="High Profit"/>
    <x v="3"/>
  </r>
  <r>
    <n v="1644"/>
    <s v="01-06-2025"/>
    <x v="1"/>
    <x v="3"/>
    <x v="3"/>
    <s v="Electronics"/>
    <n v="5"/>
    <n v="89"/>
    <x v="596"/>
    <n v="280"/>
    <x v="155"/>
    <x v="3"/>
    <s v="Returning"/>
    <s v="Low Profit"/>
    <x v="5"/>
  </r>
  <r>
    <n v="1645"/>
    <s v="03-02-2025"/>
    <x v="2"/>
    <x v="0"/>
    <x v="2"/>
    <s v="Electronics"/>
    <n v="8"/>
    <n v="447"/>
    <x v="597"/>
    <n v="2610"/>
    <x v="546"/>
    <x v="4"/>
    <s v="New"/>
    <s v="High Profit"/>
    <x v="0"/>
  </r>
  <r>
    <n v="1646"/>
    <s v="16-03-2025"/>
    <x v="1"/>
    <x v="3"/>
    <x v="3"/>
    <s v="Electronics"/>
    <n v="5"/>
    <n v="333"/>
    <x v="598"/>
    <n v="1198"/>
    <x v="547"/>
    <x v="4"/>
    <s v="New"/>
    <s v="High Profit"/>
    <x v="2"/>
  </r>
  <r>
    <n v="1117"/>
    <s v="13-03-2025"/>
    <x v="3"/>
    <x v="0"/>
    <x v="2"/>
    <s v="Electronics"/>
    <n v="2"/>
    <n v="618"/>
    <x v="599"/>
    <n v="815"/>
    <x v="548"/>
    <x v="1"/>
    <s v="Returning"/>
    <s v="High Profit"/>
    <x v="2"/>
  </r>
  <r>
    <n v="1487"/>
    <s v="17-04-2025"/>
    <x v="3"/>
    <x v="3"/>
    <x v="0"/>
    <s v="Electronics"/>
    <n v="2"/>
    <n v="591"/>
    <x v="600"/>
    <n v="768"/>
    <x v="549"/>
    <x v="1"/>
    <s v="Returning"/>
    <s v="High Profit"/>
    <x v="4"/>
  </r>
  <r>
    <n v="1649"/>
    <s v="15-02-2025"/>
    <x v="2"/>
    <x v="0"/>
    <x v="4"/>
    <s v="Electronics"/>
    <n v="7"/>
    <n v="929"/>
    <x v="601"/>
    <n v="4747"/>
    <x v="550"/>
    <x v="0"/>
    <s v="Returning"/>
    <s v="High Profit"/>
    <x v="0"/>
  </r>
  <r>
    <n v="1650"/>
    <s v="07-03-2025"/>
    <x v="0"/>
    <x v="3"/>
    <x v="3"/>
    <s v="Electronics"/>
    <n v="7"/>
    <n v="101"/>
    <x v="602"/>
    <n v="445"/>
    <x v="0"/>
    <x v="0"/>
    <s v="Returning"/>
    <s v="High Profit"/>
    <x v="2"/>
  </r>
  <r>
    <n v="1651"/>
    <s v="28-01-2025"/>
    <x v="0"/>
    <x v="0"/>
    <x v="3"/>
    <s v="Electronics"/>
    <n v="8"/>
    <n v="138"/>
    <x v="603"/>
    <n v="816"/>
    <x v="551"/>
    <x v="3"/>
    <s v="Returning"/>
    <s v="High Profit"/>
    <x v="3"/>
  </r>
  <r>
    <n v="1652"/>
    <s v="13-04-2025"/>
    <x v="1"/>
    <x v="0"/>
    <x v="5"/>
    <s v="Accessories"/>
    <n v="10"/>
    <n v="893"/>
    <x v="248"/>
    <n v="5358"/>
    <x v="552"/>
    <x v="2"/>
    <s v="New"/>
    <s v="High Profit"/>
    <x v="4"/>
  </r>
  <r>
    <n v="1994"/>
    <s v="06-01-2025"/>
    <x v="3"/>
    <x v="2"/>
    <x v="2"/>
    <s v="Electronics"/>
    <n v="6"/>
    <n v="188"/>
    <x v="265"/>
    <n v="721"/>
    <x v="553"/>
    <x v="4"/>
    <s v="Returning"/>
    <s v="High Profit"/>
    <x v="3"/>
  </r>
  <r>
    <n v="1654"/>
    <s v="12-01-2025"/>
    <x v="1"/>
    <x v="2"/>
    <x v="3"/>
    <s v="Electronics"/>
    <n v="4"/>
    <n v="784"/>
    <x v="604"/>
    <n v="1944"/>
    <x v="554"/>
    <x v="2"/>
    <s v="New"/>
    <s v="High Profit"/>
    <x v="3"/>
  </r>
  <r>
    <n v="1268"/>
    <s v="02-05-2025"/>
    <x v="3"/>
    <x v="0"/>
    <x v="2"/>
    <s v="Electronics"/>
    <n v="2"/>
    <n v="881"/>
    <x v="605"/>
    <n v="1356"/>
    <x v="449"/>
    <x v="2"/>
    <s v="Returning"/>
    <s v="High Profit"/>
    <x v="1"/>
  </r>
  <r>
    <n v="1656"/>
    <s v="03-01-2025"/>
    <x v="1"/>
    <x v="3"/>
    <x v="5"/>
    <s v="Accessories"/>
    <n v="8"/>
    <n v="437"/>
    <x v="606"/>
    <n v="2307"/>
    <x v="50"/>
    <x v="2"/>
    <s v="Returning"/>
    <s v="High Profit"/>
    <x v="3"/>
  </r>
  <r>
    <n v="1657"/>
    <s v="03-03-2025"/>
    <x v="3"/>
    <x v="2"/>
    <x v="1"/>
    <s v="Accessories"/>
    <n v="5"/>
    <n v="399"/>
    <x v="607"/>
    <n v="1336"/>
    <x v="555"/>
    <x v="1"/>
    <s v="Returning"/>
    <s v="High Profit"/>
    <x v="2"/>
  </r>
  <r>
    <n v="1658"/>
    <s v="25-03-2025"/>
    <x v="1"/>
    <x v="3"/>
    <x v="5"/>
    <s v="Accessories"/>
    <n v="1"/>
    <n v="984"/>
    <x v="579"/>
    <n v="639"/>
    <x v="556"/>
    <x v="1"/>
    <s v="New"/>
    <s v="High Profit"/>
    <x v="2"/>
  </r>
  <r>
    <n v="1659"/>
    <s v="13-05-2025"/>
    <x v="2"/>
    <x v="0"/>
    <x v="1"/>
    <s v="Accessories"/>
    <n v="4"/>
    <n v="160"/>
    <x v="423"/>
    <n v="505"/>
    <x v="557"/>
    <x v="2"/>
    <s v="New"/>
    <s v="Low Profit"/>
    <x v="1"/>
  </r>
  <r>
    <n v="1660"/>
    <s v="30-06-2025"/>
    <x v="3"/>
    <x v="1"/>
    <x v="5"/>
    <s v="Accessories"/>
    <n v="7"/>
    <n v="859"/>
    <x v="608"/>
    <n v="4329"/>
    <x v="558"/>
    <x v="4"/>
    <s v="New"/>
    <s v="High Profit"/>
    <x v="5"/>
  </r>
  <r>
    <n v="1661"/>
    <s v="11-06-2025"/>
    <x v="0"/>
    <x v="1"/>
    <x v="2"/>
    <s v="Electronics"/>
    <n v="4"/>
    <n v="243"/>
    <x v="609"/>
    <n v="631"/>
    <x v="173"/>
    <x v="2"/>
    <s v="Returning"/>
    <s v="High Profit"/>
    <x v="5"/>
  </r>
  <r>
    <n v="1662"/>
    <s v="27-05-2025"/>
    <x v="0"/>
    <x v="2"/>
    <x v="0"/>
    <s v="Electronics"/>
    <n v="6"/>
    <n v="267"/>
    <x v="610"/>
    <n v="1089"/>
    <x v="559"/>
    <x v="4"/>
    <s v="New"/>
    <s v="High Profit"/>
    <x v="1"/>
  </r>
  <r>
    <n v="1663"/>
    <s v="08-02-2025"/>
    <x v="1"/>
    <x v="3"/>
    <x v="5"/>
    <s v="Accessories"/>
    <n v="3"/>
    <n v="869"/>
    <x v="611"/>
    <n v="1590"/>
    <x v="459"/>
    <x v="4"/>
    <s v="New"/>
    <s v="High Profit"/>
    <x v="0"/>
  </r>
  <r>
    <n v="1664"/>
    <s v="16-01-2025"/>
    <x v="3"/>
    <x v="0"/>
    <x v="1"/>
    <s v="Accessories"/>
    <n v="10"/>
    <n v="432"/>
    <x v="612"/>
    <n v="2592"/>
    <x v="560"/>
    <x v="3"/>
    <s v="Returning"/>
    <s v="High Profit"/>
    <x v="3"/>
  </r>
  <r>
    <n v="1665"/>
    <s v="07-01-2025"/>
    <x v="2"/>
    <x v="1"/>
    <x v="3"/>
    <s v="Electronics"/>
    <n v="10"/>
    <n v="265"/>
    <x v="613"/>
    <n v="1828"/>
    <x v="561"/>
    <x v="0"/>
    <s v="New"/>
    <s v="High Profit"/>
    <x v="3"/>
  </r>
  <r>
    <n v="1666"/>
    <s v="06-04-2025"/>
    <x v="0"/>
    <x v="1"/>
    <x v="4"/>
    <s v="Electronics"/>
    <n v="8"/>
    <n v="288"/>
    <x v="373"/>
    <n v="1797"/>
    <x v="562"/>
    <x v="4"/>
    <s v="New"/>
    <s v="High Profit"/>
    <x v="4"/>
  </r>
  <r>
    <n v="1667"/>
    <s v="28-03-2025"/>
    <x v="2"/>
    <x v="2"/>
    <x v="1"/>
    <s v="Accessories"/>
    <n v="6"/>
    <n v="961"/>
    <x v="614"/>
    <n v="3632"/>
    <x v="563"/>
    <x v="4"/>
    <s v="New"/>
    <s v="High Profit"/>
    <x v="2"/>
  </r>
  <r>
    <n v="1668"/>
    <s v="08-04-2025"/>
    <x v="0"/>
    <x v="1"/>
    <x v="3"/>
    <s v="Electronics"/>
    <n v="4"/>
    <n v="914"/>
    <x v="615"/>
    <n v="2888"/>
    <x v="564"/>
    <x v="4"/>
    <s v="New"/>
    <s v="High Profit"/>
    <x v="4"/>
  </r>
  <r>
    <n v="1669"/>
    <s v="25-02-2025"/>
    <x v="1"/>
    <x v="0"/>
    <x v="5"/>
    <s v="Accessories"/>
    <n v="3"/>
    <n v="530"/>
    <x v="58"/>
    <n v="1097"/>
    <x v="498"/>
    <x v="3"/>
    <s v="New"/>
    <s v="High Profit"/>
    <x v="0"/>
  </r>
  <r>
    <n v="1670"/>
    <s v="20-02-2025"/>
    <x v="0"/>
    <x v="3"/>
    <x v="1"/>
    <s v="Accessories"/>
    <n v="6"/>
    <n v="230"/>
    <x v="616"/>
    <n v="841"/>
    <x v="159"/>
    <x v="1"/>
    <s v="New"/>
    <s v="High Profit"/>
    <x v="0"/>
  </r>
  <r>
    <n v="1671"/>
    <s v="17-02-2025"/>
    <x v="2"/>
    <x v="3"/>
    <x v="1"/>
    <s v="Accessories"/>
    <n v="8"/>
    <n v="817"/>
    <x v="617"/>
    <n v="4575"/>
    <x v="565"/>
    <x v="2"/>
    <s v="Returning"/>
    <s v="High Profit"/>
    <x v="0"/>
  </r>
  <r>
    <n v="1672"/>
    <s v="13-03-2025"/>
    <x v="0"/>
    <x v="1"/>
    <x v="3"/>
    <s v="Electronics"/>
    <n v="3"/>
    <n v="299"/>
    <x v="618"/>
    <n v="672"/>
    <x v="566"/>
    <x v="0"/>
    <s v="New"/>
    <s v="High Profit"/>
    <x v="2"/>
  </r>
  <r>
    <n v="1673"/>
    <s v="02-03-2025"/>
    <x v="0"/>
    <x v="2"/>
    <x v="0"/>
    <s v="Electronics"/>
    <n v="2"/>
    <n v="876"/>
    <x v="619"/>
    <n v="1191"/>
    <x v="567"/>
    <x v="4"/>
    <s v="Returning"/>
    <s v="High Profit"/>
    <x v="2"/>
  </r>
  <r>
    <n v="1674"/>
    <s v="23-04-2025"/>
    <x v="1"/>
    <x v="3"/>
    <x v="1"/>
    <s v="Accessories"/>
    <n v="2"/>
    <n v="104"/>
    <x v="620"/>
    <n v="147"/>
    <x v="568"/>
    <x v="0"/>
    <s v="Returning"/>
    <s v="Low Profit"/>
    <x v="4"/>
  </r>
  <r>
    <n v="1280"/>
    <s v="12-02-2025"/>
    <x v="3"/>
    <x v="3"/>
    <x v="2"/>
    <s v="Electronics"/>
    <n v="3"/>
    <n v="578"/>
    <x v="621"/>
    <n v="1335"/>
    <x v="569"/>
    <x v="1"/>
    <s v="New"/>
    <s v="High Profit"/>
    <x v="0"/>
  </r>
  <r>
    <n v="1676"/>
    <s v="06-05-2025"/>
    <x v="0"/>
    <x v="2"/>
    <x v="3"/>
    <s v="Electronics"/>
    <n v="8"/>
    <n v="162"/>
    <x v="622"/>
    <n v="816"/>
    <x v="570"/>
    <x v="2"/>
    <s v="Returning"/>
    <s v="High Profit"/>
    <x v="1"/>
  </r>
  <r>
    <n v="1677"/>
    <s v="13-04-2025"/>
    <x v="2"/>
    <x v="0"/>
    <x v="0"/>
    <s v="Electronics"/>
    <n v="2"/>
    <n v="311"/>
    <x v="381"/>
    <n v="422"/>
    <x v="571"/>
    <x v="1"/>
    <s v="New"/>
    <s v="High Profit"/>
    <x v="4"/>
  </r>
  <r>
    <n v="1678"/>
    <s v="18-05-2025"/>
    <x v="1"/>
    <x v="1"/>
    <x v="3"/>
    <s v="Electronics"/>
    <n v="5"/>
    <n v="386"/>
    <x v="623"/>
    <n v="1235"/>
    <x v="441"/>
    <x v="3"/>
    <s v="New"/>
    <s v="High Profit"/>
    <x v="1"/>
  </r>
  <r>
    <n v="1679"/>
    <s v="05-03-2025"/>
    <x v="2"/>
    <x v="3"/>
    <x v="3"/>
    <s v="Electronics"/>
    <n v="9"/>
    <n v="822"/>
    <x v="624"/>
    <n v="5770"/>
    <x v="297"/>
    <x v="0"/>
    <s v="New"/>
    <s v="High Profit"/>
    <x v="2"/>
  </r>
  <r>
    <n v="1680"/>
    <s v="16-05-2025"/>
    <x v="3"/>
    <x v="3"/>
    <x v="5"/>
    <s v="Accessories"/>
    <n v="8"/>
    <n v="933"/>
    <x v="625"/>
    <n v="5896"/>
    <x v="572"/>
    <x v="0"/>
    <s v="New"/>
    <s v="High Profit"/>
    <x v="1"/>
  </r>
  <r>
    <n v="1681"/>
    <s v="25-03-2025"/>
    <x v="1"/>
    <x v="3"/>
    <x v="2"/>
    <s v="Electronics"/>
    <n v="8"/>
    <n v="149"/>
    <x v="626"/>
    <n v="822"/>
    <x v="573"/>
    <x v="4"/>
    <s v="Returning"/>
    <s v="High Profit"/>
    <x v="2"/>
  </r>
  <r>
    <n v="1682"/>
    <s v="14-05-2025"/>
    <x v="1"/>
    <x v="0"/>
    <x v="1"/>
    <s v="Accessories"/>
    <n v="8"/>
    <n v="575"/>
    <x v="627"/>
    <n v="2990"/>
    <x v="574"/>
    <x v="2"/>
    <s v="Returning"/>
    <s v="High Profit"/>
    <x v="1"/>
  </r>
  <r>
    <n v="1683"/>
    <s v="04-01-2025"/>
    <x v="1"/>
    <x v="0"/>
    <x v="1"/>
    <s v="Accessories"/>
    <n v="5"/>
    <n v="149"/>
    <x v="628"/>
    <n v="469"/>
    <x v="358"/>
    <x v="4"/>
    <s v="New"/>
    <s v="High Profit"/>
    <x v="3"/>
  </r>
  <r>
    <n v="1684"/>
    <s v="15-04-2025"/>
    <x v="1"/>
    <x v="3"/>
    <x v="4"/>
    <s v="Electronics"/>
    <n v="2"/>
    <n v="442"/>
    <x v="629"/>
    <n v="698"/>
    <x v="575"/>
    <x v="2"/>
    <s v="New"/>
    <s v="High Profit"/>
    <x v="4"/>
  </r>
  <r>
    <n v="1685"/>
    <s v="23-02-2025"/>
    <x v="1"/>
    <x v="1"/>
    <x v="4"/>
    <s v="Electronics"/>
    <n v="8"/>
    <n v="452"/>
    <x v="422"/>
    <n v="2205"/>
    <x v="576"/>
    <x v="2"/>
    <s v="Returning"/>
    <s v="High Profit"/>
    <x v="0"/>
  </r>
  <r>
    <n v="1298"/>
    <s v="29-01-2025"/>
    <x v="3"/>
    <x v="2"/>
    <x v="4"/>
    <s v="Electronics"/>
    <n v="2"/>
    <n v="678"/>
    <x v="630"/>
    <n v="962"/>
    <x v="577"/>
    <x v="2"/>
    <s v="Returning"/>
    <s v="High Profit"/>
    <x v="3"/>
  </r>
  <r>
    <n v="1687"/>
    <s v="23-04-2025"/>
    <x v="0"/>
    <x v="1"/>
    <x v="0"/>
    <s v="Electronics"/>
    <n v="7"/>
    <n v="221"/>
    <x v="486"/>
    <n v="974"/>
    <x v="578"/>
    <x v="2"/>
    <s v="Returning"/>
    <s v="High Profit"/>
    <x v="4"/>
  </r>
  <r>
    <n v="1688"/>
    <s v="13-02-2025"/>
    <x v="0"/>
    <x v="2"/>
    <x v="0"/>
    <s v="Electronics"/>
    <n v="3"/>
    <n v="416"/>
    <x v="299"/>
    <n v="898"/>
    <x v="379"/>
    <x v="0"/>
    <s v="Returning"/>
    <s v="High Profit"/>
    <x v="0"/>
  </r>
  <r>
    <n v="1689"/>
    <s v="14-03-2025"/>
    <x v="2"/>
    <x v="0"/>
    <x v="0"/>
    <s v="Electronics"/>
    <n v="8"/>
    <n v="510"/>
    <x v="631"/>
    <n v="2856"/>
    <x v="231"/>
    <x v="3"/>
    <s v="New"/>
    <s v="High Profit"/>
    <x v="2"/>
  </r>
  <r>
    <n v="1690"/>
    <s v="24-01-2025"/>
    <x v="3"/>
    <x v="2"/>
    <x v="1"/>
    <s v="Accessories"/>
    <n v="9"/>
    <n v="592"/>
    <x v="632"/>
    <n v="3196"/>
    <x v="579"/>
    <x v="4"/>
    <s v="Returning"/>
    <s v="High Profit"/>
    <x v="3"/>
  </r>
  <r>
    <n v="1691"/>
    <s v="11-05-2025"/>
    <x v="2"/>
    <x v="3"/>
    <x v="0"/>
    <s v="Electronics"/>
    <n v="2"/>
    <n v="833"/>
    <x v="391"/>
    <n v="1332"/>
    <x v="580"/>
    <x v="2"/>
    <s v="New"/>
    <s v="High Profit"/>
    <x v="1"/>
  </r>
  <r>
    <n v="1692"/>
    <s v="14-04-2025"/>
    <x v="3"/>
    <x v="0"/>
    <x v="5"/>
    <s v="Accessories"/>
    <n v="2"/>
    <n v="338"/>
    <x v="633"/>
    <n v="432"/>
    <x v="581"/>
    <x v="3"/>
    <s v="New"/>
    <s v="High Profit"/>
    <x v="4"/>
  </r>
  <r>
    <n v="1693"/>
    <s v="11-06-2025"/>
    <x v="2"/>
    <x v="3"/>
    <x v="4"/>
    <s v="Electronics"/>
    <n v="1"/>
    <n v="502"/>
    <x v="634"/>
    <n v="361"/>
    <x v="206"/>
    <x v="1"/>
    <s v="New"/>
    <s v="Low Profit"/>
    <x v="5"/>
  </r>
  <r>
    <n v="1694"/>
    <s v="22-03-2025"/>
    <x v="2"/>
    <x v="2"/>
    <x v="3"/>
    <s v="Electronics"/>
    <n v="2"/>
    <n v="677"/>
    <x v="635"/>
    <n v="907"/>
    <x v="197"/>
    <x v="2"/>
    <s v="New"/>
    <s v="High Profit"/>
    <x v="2"/>
  </r>
  <r>
    <n v="1695"/>
    <s v="06-01-2025"/>
    <x v="0"/>
    <x v="0"/>
    <x v="0"/>
    <s v="Electronics"/>
    <n v="8"/>
    <n v="714"/>
    <x v="636"/>
    <n v="4512"/>
    <x v="582"/>
    <x v="0"/>
    <s v="New"/>
    <s v="High Profit"/>
    <x v="3"/>
  </r>
  <r>
    <n v="1696"/>
    <s v="26-04-2025"/>
    <x v="2"/>
    <x v="3"/>
    <x v="0"/>
    <s v="Electronics"/>
    <n v="7"/>
    <n v="829"/>
    <x v="637"/>
    <n v="4236"/>
    <x v="238"/>
    <x v="3"/>
    <s v="New"/>
    <s v="High Profit"/>
    <x v="4"/>
  </r>
  <r>
    <n v="1697"/>
    <s v="11-02-2025"/>
    <x v="1"/>
    <x v="2"/>
    <x v="4"/>
    <s v="Electronics"/>
    <n v="5"/>
    <n v="268"/>
    <x v="638"/>
    <n v="1058"/>
    <x v="583"/>
    <x v="3"/>
    <s v="New"/>
    <s v="High Profit"/>
    <x v="0"/>
  </r>
  <r>
    <n v="1037"/>
    <s v="06-04-2025"/>
    <x v="3"/>
    <x v="2"/>
    <x v="2"/>
    <s v="Electronics"/>
    <n v="6"/>
    <n v="215"/>
    <x v="639"/>
    <n v="903"/>
    <x v="19"/>
    <x v="3"/>
    <s v="Returning"/>
    <s v="High Profit"/>
    <x v="4"/>
  </r>
  <r>
    <n v="1699"/>
    <s v="10-06-2025"/>
    <x v="1"/>
    <x v="3"/>
    <x v="3"/>
    <s v="Electronics"/>
    <n v="7"/>
    <n v="249"/>
    <x v="640"/>
    <n v="1272"/>
    <x v="474"/>
    <x v="1"/>
    <s v="Returning"/>
    <s v="High Profit"/>
    <x v="5"/>
  </r>
  <r>
    <n v="1700"/>
    <s v="17-04-2025"/>
    <x v="0"/>
    <x v="3"/>
    <x v="3"/>
    <s v="Electronics"/>
    <n v="9"/>
    <n v="340"/>
    <x v="6"/>
    <n v="2080"/>
    <x v="386"/>
    <x v="1"/>
    <s v="Returning"/>
    <s v="High Profit"/>
    <x v="4"/>
  </r>
  <r>
    <n v="1701"/>
    <s v="24-04-2025"/>
    <x v="2"/>
    <x v="2"/>
    <x v="0"/>
    <s v="Electronics"/>
    <n v="2"/>
    <n v="613"/>
    <x v="641"/>
    <n v="809"/>
    <x v="584"/>
    <x v="2"/>
    <s v="New"/>
    <s v="High Profit"/>
    <x v="4"/>
  </r>
  <r>
    <n v="1702"/>
    <s v="24-02-2025"/>
    <x v="1"/>
    <x v="0"/>
    <x v="2"/>
    <s v="Electronics"/>
    <n v="7"/>
    <n v="922"/>
    <x v="642"/>
    <n v="4969"/>
    <x v="585"/>
    <x v="3"/>
    <s v="New"/>
    <s v="High Profit"/>
    <x v="0"/>
  </r>
  <r>
    <n v="2000"/>
    <s v="04-02-2025"/>
    <x v="3"/>
    <x v="0"/>
    <x v="4"/>
    <s v="Electronics"/>
    <n v="4"/>
    <n v="271"/>
    <x v="643"/>
    <n v="704"/>
    <x v="586"/>
    <x v="3"/>
    <s v="Returning"/>
    <s v="High Profit"/>
    <x v="0"/>
  </r>
  <r>
    <n v="1704"/>
    <s v="10-02-2025"/>
    <x v="2"/>
    <x v="0"/>
    <x v="4"/>
    <s v="Electronics"/>
    <n v="4"/>
    <n v="138"/>
    <x v="644"/>
    <n v="364"/>
    <x v="587"/>
    <x v="2"/>
    <s v="Returning"/>
    <s v="High Profit"/>
    <x v="0"/>
  </r>
  <r>
    <n v="1741"/>
    <s v="05-01-2025"/>
    <x v="3"/>
    <x v="1"/>
    <x v="4"/>
    <s v="Electronics"/>
    <n v="2"/>
    <n v="608"/>
    <x v="645"/>
    <n v="839"/>
    <x v="525"/>
    <x v="1"/>
    <s v="New"/>
    <s v="High Profit"/>
    <x v="3"/>
  </r>
  <r>
    <n v="1706"/>
    <s v="18-03-2025"/>
    <x v="0"/>
    <x v="2"/>
    <x v="0"/>
    <s v="Electronics"/>
    <n v="4"/>
    <n v="285"/>
    <x v="646"/>
    <n v="695"/>
    <x v="588"/>
    <x v="0"/>
    <s v="New"/>
    <s v="High Profit"/>
    <x v="2"/>
  </r>
  <r>
    <n v="1707"/>
    <s v="29-01-2025"/>
    <x v="1"/>
    <x v="2"/>
    <x v="0"/>
    <s v="Electronics"/>
    <n v="5"/>
    <n v="533"/>
    <x v="647"/>
    <n v="1892"/>
    <x v="589"/>
    <x v="1"/>
    <s v="Returning"/>
    <s v="High Profit"/>
    <x v="3"/>
  </r>
  <r>
    <n v="1708"/>
    <s v="20-01-2025"/>
    <x v="1"/>
    <x v="2"/>
    <x v="1"/>
    <s v="Accessories"/>
    <n v="9"/>
    <n v="415"/>
    <x v="648"/>
    <n v="2278"/>
    <x v="590"/>
    <x v="4"/>
    <s v="Returning"/>
    <s v="High Profit"/>
    <x v="3"/>
  </r>
  <r>
    <n v="1709"/>
    <s v="21-03-2025"/>
    <x v="3"/>
    <x v="2"/>
    <x v="5"/>
    <s v="Accessories"/>
    <n v="9"/>
    <n v="401"/>
    <x v="649"/>
    <n v="2851"/>
    <x v="591"/>
    <x v="3"/>
    <s v="New"/>
    <s v="High Profit"/>
    <x v="2"/>
  </r>
  <r>
    <n v="1710"/>
    <s v="03-01-2025"/>
    <x v="0"/>
    <x v="3"/>
    <x v="0"/>
    <s v="Electronics"/>
    <n v="10"/>
    <n v="244"/>
    <x v="650"/>
    <n v="1561"/>
    <x v="592"/>
    <x v="1"/>
    <s v="Returning"/>
    <s v="High Profit"/>
    <x v="3"/>
  </r>
  <r>
    <n v="1711"/>
    <s v="03-04-2025"/>
    <x v="1"/>
    <x v="3"/>
    <x v="3"/>
    <s v="Electronics"/>
    <n v="5"/>
    <n v="983"/>
    <x v="651"/>
    <n v="3391"/>
    <x v="593"/>
    <x v="3"/>
    <s v="Returning"/>
    <s v="High Profit"/>
    <x v="4"/>
  </r>
  <r>
    <n v="1712"/>
    <s v="21-03-2025"/>
    <x v="3"/>
    <x v="1"/>
    <x v="5"/>
    <s v="Accessories"/>
    <n v="3"/>
    <n v="600"/>
    <x v="652"/>
    <n v="1404"/>
    <x v="501"/>
    <x v="2"/>
    <s v="New"/>
    <s v="High Profit"/>
    <x v="2"/>
  </r>
  <r>
    <n v="1012"/>
    <s v="20-05-2025"/>
    <x v="3"/>
    <x v="3"/>
    <x v="2"/>
    <s v="Electronics"/>
    <n v="7"/>
    <n v="201"/>
    <x v="653"/>
    <n v="1041"/>
    <x v="594"/>
    <x v="0"/>
    <s v="Returning"/>
    <s v="High Profit"/>
    <x v="1"/>
  </r>
  <r>
    <n v="1714"/>
    <s v="07-03-2025"/>
    <x v="0"/>
    <x v="3"/>
    <x v="3"/>
    <s v="Electronics"/>
    <n v="10"/>
    <n v="818"/>
    <x v="654"/>
    <n v="5644"/>
    <x v="595"/>
    <x v="0"/>
    <s v="Returning"/>
    <s v="High Profit"/>
    <x v="2"/>
  </r>
  <r>
    <n v="1715"/>
    <s v="04-06-2025"/>
    <x v="0"/>
    <x v="1"/>
    <x v="3"/>
    <s v="Electronics"/>
    <n v="8"/>
    <n v="813"/>
    <x v="655"/>
    <n v="5073"/>
    <x v="294"/>
    <x v="0"/>
    <s v="Returning"/>
    <s v="High Profit"/>
    <x v="5"/>
  </r>
  <r>
    <n v="1716"/>
    <s v="19-06-2025"/>
    <x v="1"/>
    <x v="0"/>
    <x v="1"/>
    <s v="Accessories"/>
    <n v="7"/>
    <n v="235"/>
    <x v="656"/>
    <n v="1217"/>
    <x v="39"/>
    <x v="2"/>
    <s v="New"/>
    <s v="High Profit"/>
    <x v="5"/>
  </r>
  <r>
    <n v="1355"/>
    <s v="28-01-2025"/>
    <x v="3"/>
    <x v="3"/>
    <x v="2"/>
    <s v="Electronics"/>
    <n v="3"/>
    <n v="389"/>
    <x v="657"/>
    <n v="805"/>
    <x v="596"/>
    <x v="0"/>
    <s v="Returning"/>
    <s v="High Profit"/>
    <x v="3"/>
  </r>
  <r>
    <n v="1718"/>
    <s v="18-05-2025"/>
    <x v="2"/>
    <x v="0"/>
    <x v="2"/>
    <s v="Electronics"/>
    <n v="9"/>
    <n v="125"/>
    <x v="658"/>
    <n v="708"/>
    <x v="584"/>
    <x v="2"/>
    <s v="New"/>
    <s v="High Profit"/>
    <x v="1"/>
  </r>
  <r>
    <n v="1719"/>
    <s v="16-01-2025"/>
    <x v="0"/>
    <x v="0"/>
    <x v="3"/>
    <s v="Electronics"/>
    <n v="10"/>
    <n v="599"/>
    <x v="659"/>
    <n v="4312"/>
    <x v="597"/>
    <x v="3"/>
    <s v="Returning"/>
    <s v="High Profit"/>
    <x v="3"/>
  </r>
  <r>
    <n v="1720"/>
    <s v="20-06-2025"/>
    <x v="0"/>
    <x v="2"/>
    <x v="3"/>
    <s v="Electronics"/>
    <n v="5"/>
    <n v="844"/>
    <x v="660"/>
    <n v="2743"/>
    <x v="598"/>
    <x v="4"/>
    <s v="Returning"/>
    <s v="High Profit"/>
    <x v="5"/>
  </r>
  <r>
    <n v="1721"/>
    <s v="01-05-2025"/>
    <x v="0"/>
    <x v="0"/>
    <x v="4"/>
    <s v="Electronics"/>
    <n v="1"/>
    <n v="173"/>
    <x v="661"/>
    <n v="128"/>
    <x v="340"/>
    <x v="0"/>
    <s v="New"/>
    <s v="Low Profit"/>
    <x v="1"/>
  </r>
  <r>
    <n v="1722"/>
    <s v="11-06-2025"/>
    <x v="2"/>
    <x v="1"/>
    <x v="0"/>
    <s v="Electronics"/>
    <n v="1"/>
    <n v="428"/>
    <x v="662"/>
    <n v="325"/>
    <x v="344"/>
    <x v="0"/>
    <s v="New"/>
    <s v="Low Profit"/>
    <x v="5"/>
  </r>
  <r>
    <n v="1723"/>
    <s v="22-03-2025"/>
    <x v="2"/>
    <x v="3"/>
    <x v="4"/>
    <s v="Electronics"/>
    <n v="7"/>
    <n v="951"/>
    <x v="663"/>
    <n v="5325"/>
    <x v="599"/>
    <x v="4"/>
    <s v="New"/>
    <s v="High Profit"/>
    <x v="2"/>
  </r>
  <r>
    <n v="1724"/>
    <s v="07-03-2025"/>
    <x v="1"/>
    <x v="2"/>
    <x v="0"/>
    <s v="Electronics"/>
    <n v="2"/>
    <n v="669"/>
    <x v="664"/>
    <n v="963"/>
    <x v="600"/>
    <x v="1"/>
    <s v="Returning"/>
    <s v="High Profit"/>
    <x v="2"/>
  </r>
  <r>
    <n v="1725"/>
    <s v="29-06-2025"/>
    <x v="1"/>
    <x v="2"/>
    <x v="2"/>
    <s v="Electronics"/>
    <n v="1"/>
    <n v="303"/>
    <x v="665"/>
    <n v="236"/>
    <x v="286"/>
    <x v="3"/>
    <s v="New"/>
    <s v="Low Profit"/>
    <x v="5"/>
  </r>
  <r>
    <n v="1726"/>
    <s v="20-02-2025"/>
    <x v="0"/>
    <x v="3"/>
    <x v="0"/>
    <s v="Electronics"/>
    <n v="7"/>
    <n v="866"/>
    <x v="666"/>
    <n v="4728"/>
    <x v="228"/>
    <x v="1"/>
    <s v="New"/>
    <s v="High Profit"/>
    <x v="0"/>
  </r>
  <r>
    <n v="1727"/>
    <s v="06-02-2025"/>
    <x v="2"/>
    <x v="1"/>
    <x v="5"/>
    <s v="Accessories"/>
    <n v="2"/>
    <n v="341"/>
    <x v="667"/>
    <n v="463"/>
    <x v="601"/>
    <x v="4"/>
    <s v="Returning"/>
    <s v="High Profit"/>
    <x v="0"/>
  </r>
  <r>
    <n v="1728"/>
    <s v="26-04-2025"/>
    <x v="1"/>
    <x v="3"/>
    <x v="0"/>
    <s v="Electronics"/>
    <n v="9"/>
    <n v="317"/>
    <x v="668"/>
    <n v="2082"/>
    <x v="602"/>
    <x v="3"/>
    <s v="New"/>
    <s v="High Profit"/>
    <x v="4"/>
  </r>
  <r>
    <n v="1729"/>
    <s v="20-05-2025"/>
    <x v="1"/>
    <x v="3"/>
    <x v="1"/>
    <s v="Accessories"/>
    <n v="2"/>
    <n v="470"/>
    <x v="669"/>
    <n v="658"/>
    <x v="583"/>
    <x v="4"/>
    <s v="Returning"/>
    <s v="High Profit"/>
    <x v="1"/>
  </r>
  <r>
    <n v="1730"/>
    <s v="06-05-2025"/>
    <x v="2"/>
    <x v="3"/>
    <x v="1"/>
    <s v="Accessories"/>
    <n v="1"/>
    <n v="188"/>
    <x v="670"/>
    <n v="135"/>
    <x v="411"/>
    <x v="1"/>
    <s v="Returning"/>
    <s v="Low Profit"/>
    <x v="1"/>
  </r>
  <r>
    <n v="1731"/>
    <s v="22-01-2025"/>
    <x v="0"/>
    <x v="0"/>
    <x v="3"/>
    <s v="Electronics"/>
    <n v="10"/>
    <n v="426"/>
    <x v="398"/>
    <n v="2854"/>
    <x v="603"/>
    <x v="4"/>
    <s v="Returning"/>
    <s v="High Profit"/>
    <x v="3"/>
  </r>
  <r>
    <n v="1732"/>
    <s v="30-04-2025"/>
    <x v="1"/>
    <x v="2"/>
    <x v="0"/>
    <s v="Electronics"/>
    <n v="3"/>
    <n v="900"/>
    <x v="671"/>
    <n v="1917"/>
    <x v="604"/>
    <x v="4"/>
    <s v="Returning"/>
    <s v="High Profit"/>
    <x v="4"/>
  </r>
  <r>
    <n v="1733"/>
    <s v="29-04-2025"/>
    <x v="0"/>
    <x v="1"/>
    <x v="3"/>
    <s v="Electronics"/>
    <n v="3"/>
    <n v="801"/>
    <x v="672"/>
    <n v="1610"/>
    <x v="281"/>
    <x v="2"/>
    <s v="New"/>
    <s v="High Profit"/>
    <x v="4"/>
  </r>
  <r>
    <n v="1602"/>
    <s v="16-05-2025"/>
    <x v="3"/>
    <x v="0"/>
    <x v="2"/>
    <s v="Electronics"/>
    <n v="2"/>
    <n v="602"/>
    <x v="673"/>
    <n v="866"/>
    <x v="605"/>
    <x v="3"/>
    <s v="Returning"/>
    <s v="High Profit"/>
    <x v="1"/>
  </r>
  <r>
    <n v="1647"/>
    <s v="15-06-2025"/>
    <x v="3"/>
    <x v="2"/>
    <x v="2"/>
    <s v="Electronics"/>
    <n v="4"/>
    <n v="212"/>
    <x v="674"/>
    <n v="534"/>
    <x v="606"/>
    <x v="4"/>
    <s v="New"/>
    <s v="High Profit"/>
    <x v="5"/>
  </r>
  <r>
    <n v="1736"/>
    <s v="31-05-2025"/>
    <x v="3"/>
    <x v="1"/>
    <x v="1"/>
    <s v="Accessories"/>
    <n v="2"/>
    <n v="743"/>
    <x v="675"/>
    <n v="965"/>
    <x v="607"/>
    <x v="2"/>
    <s v="Returning"/>
    <s v="High Profit"/>
    <x v="1"/>
  </r>
  <r>
    <n v="1737"/>
    <s v="20-05-2025"/>
    <x v="0"/>
    <x v="1"/>
    <x v="0"/>
    <s v="Electronics"/>
    <n v="9"/>
    <n v="788"/>
    <x v="676"/>
    <n v="4680"/>
    <x v="608"/>
    <x v="3"/>
    <s v="New"/>
    <s v="High Profit"/>
    <x v="1"/>
  </r>
  <r>
    <n v="1738"/>
    <s v="18-06-2025"/>
    <x v="3"/>
    <x v="0"/>
    <x v="1"/>
    <s v="Accessories"/>
    <n v="3"/>
    <n v="995"/>
    <x v="677"/>
    <n v="2119"/>
    <x v="609"/>
    <x v="1"/>
    <s v="Returning"/>
    <s v="High Profit"/>
    <x v="5"/>
  </r>
  <r>
    <n v="1739"/>
    <s v="22-04-2025"/>
    <x v="3"/>
    <x v="1"/>
    <x v="5"/>
    <s v="Accessories"/>
    <n v="5"/>
    <n v="171"/>
    <x v="678"/>
    <n v="607"/>
    <x v="610"/>
    <x v="4"/>
    <s v="New"/>
    <s v="High Profit"/>
    <x v="4"/>
  </r>
  <r>
    <n v="1740"/>
    <s v="01-01-2025"/>
    <x v="2"/>
    <x v="0"/>
    <x v="4"/>
    <s v="Electronics"/>
    <n v="6"/>
    <n v="133"/>
    <x v="679"/>
    <n v="622"/>
    <x v="156"/>
    <x v="2"/>
    <s v="Returning"/>
    <s v="Low Profit"/>
    <x v="3"/>
  </r>
  <r>
    <n v="1509"/>
    <s v="20-06-2025"/>
    <x v="3"/>
    <x v="3"/>
    <x v="3"/>
    <s v="Electronics"/>
    <n v="5"/>
    <n v="213"/>
    <x v="680"/>
    <n v="756"/>
    <x v="61"/>
    <x v="2"/>
    <s v="New"/>
    <s v="High Profit"/>
    <x v="5"/>
  </r>
  <r>
    <n v="1742"/>
    <s v="17-06-2025"/>
    <x v="2"/>
    <x v="2"/>
    <x v="0"/>
    <s v="Electronics"/>
    <n v="5"/>
    <n v="526"/>
    <x v="372"/>
    <n v="1604"/>
    <x v="611"/>
    <x v="4"/>
    <s v="Returning"/>
    <s v="High Profit"/>
    <x v="5"/>
  </r>
  <r>
    <n v="1743"/>
    <s v="10-02-2025"/>
    <x v="0"/>
    <x v="0"/>
    <x v="1"/>
    <s v="Accessories"/>
    <n v="1"/>
    <n v="445"/>
    <x v="596"/>
    <n v="284"/>
    <x v="240"/>
    <x v="4"/>
    <s v="Returning"/>
    <s v="Low Profit"/>
    <x v="0"/>
  </r>
  <r>
    <n v="1744"/>
    <s v="26-03-2025"/>
    <x v="2"/>
    <x v="1"/>
    <x v="0"/>
    <s v="Electronics"/>
    <n v="2"/>
    <n v="296"/>
    <x v="527"/>
    <n v="408"/>
    <x v="327"/>
    <x v="0"/>
    <s v="New"/>
    <s v="High Profit"/>
    <x v="2"/>
  </r>
  <r>
    <n v="1906"/>
    <s v="26-06-2025"/>
    <x v="3"/>
    <x v="2"/>
    <x v="3"/>
    <s v="Electronics"/>
    <n v="7"/>
    <n v="116"/>
    <x v="681"/>
    <n v="503"/>
    <x v="61"/>
    <x v="0"/>
    <s v="Returning"/>
    <s v="High Profit"/>
    <x v="5"/>
  </r>
  <r>
    <n v="1746"/>
    <s v="08-03-2025"/>
    <x v="0"/>
    <x v="0"/>
    <x v="2"/>
    <s v="Electronics"/>
    <n v="8"/>
    <n v="564"/>
    <x v="682"/>
    <n v="3158"/>
    <x v="612"/>
    <x v="4"/>
    <s v="Returning"/>
    <s v="High Profit"/>
    <x v="2"/>
  </r>
  <r>
    <n v="1747"/>
    <s v="06-03-2025"/>
    <x v="1"/>
    <x v="2"/>
    <x v="1"/>
    <s v="Accessories"/>
    <n v="6"/>
    <n v="715"/>
    <x v="683"/>
    <n v="3303"/>
    <x v="613"/>
    <x v="1"/>
    <s v="Returning"/>
    <s v="High Profit"/>
    <x v="2"/>
  </r>
  <r>
    <n v="1748"/>
    <s v="04-02-2025"/>
    <x v="0"/>
    <x v="2"/>
    <x v="0"/>
    <s v="Electronics"/>
    <n v="2"/>
    <n v="874"/>
    <x v="684"/>
    <n v="1048"/>
    <x v="614"/>
    <x v="4"/>
    <s v="Returning"/>
    <s v="High Profit"/>
    <x v="0"/>
  </r>
  <r>
    <n v="1749"/>
    <s v="14-06-2025"/>
    <x v="1"/>
    <x v="3"/>
    <x v="1"/>
    <s v="Accessories"/>
    <n v="10"/>
    <n v="102"/>
    <x v="52"/>
    <n v="714"/>
    <x v="218"/>
    <x v="3"/>
    <s v="New"/>
    <s v="High Profit"/>
    <x v="5"/>
  </r>
  <r>
    <n v="1653"/>
    <s v="04-05-2025"/>
    <x v="3"/>
    <x v="1"/>
    <x v="3"/>
    <s v="Electronics"/>
    <n v="3"/>
    <n v="502"/>
    <x v="685"/>
    <n v="1204"/>
    <x v="615"/>
    <x v="1"/>
    <s v="New"/>
    <s v="High Profit"/>
    <x v="1"/>
  </r>
  <r>
    <n v="1751"/>
    <s v="26-02-2025"/>
    <x v="0"/>
    <x v="0"/>
    <x v="4"/>
    <s v="Electronics"/>
    <n v="6"/>
    <n v="520"/>
    <x v="95"/>
    <n v="2277"/>
    <x v="332"/>
    <x v="3"/>
    <s v="Returning"/>
    <s v="High Profit"/>
    <x v="0"/>
  </r>
  <r>
    <n v="1087"/>
    <s v="14-04-2025"/>
    <x v="3"/>
    <x v="0"/>
    <x v="4"/>
    <s v="Electronics"/>
    <n v="7"/>
    <n v="160"/>
    <x v="686"/>
    <n v="828"/>
    <x v="616"/>
    <x v="2"/>
    <s v="Returning"/>
    <s v="High Profit"/>
    <x v="4"/>
  </r>
  <r>
    <n v="1961"/>
    <s v="02-01-2025"/>
    <x v="3"/>
    <x v="2"/>
    <x v="4"/>
    <s v="Electronics"/>
    <n v="2"/>
    <n v="687"/>
    <x v="687"/>
    <n v="1085"/>
    <x v="617"/>
    <x v="4"/>
    <s v="New"/>
    <s v="High Profit"/>
    <x v="3"/>
  </r>
  <r>
    <n v="1754"/>
    <s v="17-03-2025"/>
    <x v="0"/>
    <x v="3"/>
    <x v="4"/>
    <s v="Electronics"/>
    <n v="8"/>
    <n v="80"/>
    <x v="423"/>
    <n v="409"/>
    <x v="369"/>
    <x v="2"/>
    <s v="Returning"/>
    <s v="High Profit"/>
    <x v="2"/>
  </r>
  <r>
    <n v="1755"/>
    <s v="27-06-2025"/>
    <x v="0"/>
    <x v="3"/>
    <x v="1"/>
    <s v="Accessories"/>
    <n v="8"/>
    <n v="592"/>
    <x v="688"/>
    <n v="3646"/>
    <x v="618"/>
    <x v="2"/>
    <s v="Returning"/>
    <s v="High Profit"/>
    <x v="5"/>
  </r>
  <r>
    <n v="1756"/>
    <s v="13-01-2025"/>
    <x v="1"/>
    <x v="2"/>
    <x v="3"/>
    <s v="Electronics"/>
    <n v="1"/>
    <n v="335"/>
    <x v="504"/>
    <n v="247"/>
    <x v="365"/>
    <x v="0"/>
    <s v="New"/>
    <s v="Low Profit"/>
    <x v="3"/>
  </r>
  <r>
    <n v="1757"/>
    <s v="16-01-2025"/>
    <x v="0"/>
    <x v="0"/>
    <x v="4"/>
    <s v="Electronics"/>
    <n v="8"/>
    <n v="763"/>
    <x v="689"/>
    <n v="3906"/>
    <x v="619"/>
    <x v="1"/>
    <s v="New"/>
    <s v="High Profit"/>
    <x v="3"/>
  </r>
  <r>
    <n v="1758"/>
    <s v="16-06-2025"/>
    <x v="3"/>
    <x v="1"/>
    <x v="5"/>
    <s v="Accessories"/>
    <n v="9"/>
    <n v="858"/>
    <x v="690"/>
    <n v="4942"/>
    <x v="620"/>
    <x v="3"/>
    <s v="Returning"/>
    <s v="High Profit"/>
    <x v="5"/>
  </r>
  <r>
    <n v="1759"/>
    <s v="24-04-2025"/>
    <x v="3"/>
    <x v="1"/>
    <x v="1"/>
    <s v="Accessories"/>
    <n v="5"/>
    <n v="405"/>
    <x v="691"/>
    <n v="1478"/>
    <x v="621"/>
    <x v="0"/>
    <s v="New"/>
    <s v="High Profit"/>
    <x v="4"/>
  </r>
  <r>
    <n v="1760"/>
    <s v="13-04-2025"/>
    <x v="2"/>
    <x v="3"/>
    <x v="3"/>
    <s v="Electronics"/>
    <n v="8"/>
    <n v="405"/>
    <x v="329"/>
    <n v="2073"/>
    <x v="622"/>
    <x v="2"/>
    <s v="Returning"/>
    <s v="High Profit"/>
    <x v="4"/>
  </r>
  <r>
    <n v="1761"/>
    <s v="12-06-2025"/>
    <x v="0"/>
    <x v="1"/>
    <x v="3"/>
    <s v="Electronics"/>
    <n v="5"/>
    <n v="889"/>
    <x v="692"/>
    <n v="2755"/>
    <x v="623"/>
    <x v="0"/>
    <s v="Returning"/>
    <s v="High Profit"/>
    <x v="5"/>
  </r>
  <r>
    <n v="1762"/>
    <s v="21-06-2025"/>
    <x v="0"/>
    <x v="1"/>
    <x v="1"/>
    <s v="Accessories"/>
    <n v="6"/>
    <n v="540"/>
    <x v="329"/>
    <n v="2008"/>
    <x v="624"/>
    <x v="2"/>
    <s v="New"/>
    <s v="High Profit"/>
    <x v="5"/>
  </r>
  <r>
    <n v="1763"/>
    <s v="10-02-2025"/>
    <x v="3"/>
    <x v="2"/>
    <x v="5"/>
    <s v="Accessories"/>
    <n v="8"/>
    <n v="784"/>
    <x v="152"/>
    <n v="3888"/>
    <x v="625"/>
    <x v="0"/>
    <s v="New"/>
    <s v="High Profit"/>
    <x v="0"/>
  </r>
  <r>
    <n v="1764"/>
    <s v="19-04-2025"/>
    <x v="1"/>
    <x v="0"/>
    <x v="3"/>
    <s v="Electronics"/>
    <n v="9"/>
    <n v="698"/>
    <x v="693"/>
    <n v="5025"/>
    <x v="438"/>
    <x v="2"/>
    <s v="New"/>
    <s v="High Profit"/>
    <x v="4"/>
  </r>
  <r>
    <n v="1765"/>
    <s v="11-04-2025"/>
    <x v="1"/>
    <x v="3"/>
    <x v="5"/>
    <s v="Accessories"/>
    <n v="7"/>
    <n v="363"/>
    <x v="694"/>
    <n v="1600"/>
    <x v="510"/>
    <x v="3"/>
    <s v="Returning"/>
    <s v="High Profit"/>
    <x v="4"/>
  </r>
  <r>
    <n v="1766"/>
    <s v="06-02-2025"/>
    <x v="2"/>
    <x v="1"/>
    <x v="4"/>
    <s v="Electronics"/>
    <n v="9"/>
    <n v="779"/>
    <x v="695"/>
    <n v="4416"/>
    <x v="626"/>
    <x v="1"/>
    <s v="New"/>
    <s v="High Profit"/>
    <x v="0"/>
  </r>
  <r>
    <n v="1767"/>
    <s v="18-03-2025"/>
    <x v="0"/>
    <x v="1"/>
    <x v="1"/>
    <s v="Accessories"/>
    <n v="10"/>
    <n v="330"/>
    <x v="696"/>
    <n v="1980"/>
    <x v="627"/>
    <x v="2"/>
    <s v="Returning"/>
    <s v="High Profit"/>
    <x v="2"/>
  </r>
  <r>
    <n v="1768"/>
    <s v="13-03-2025"/>
    <x v="2"/>
    <x v="0"/>
    <x v="2"/>
    <s v="Electronics"/>
    <n v="4"/>
    <n v="672"/>
    <x v="524"/>
    <n v="1666"/>
    <x v="628"/>
    <x v="4"/>
    <s v="Returning"/>
    <s v="High Profit"/>
    <x v="2"/>
  </r>
  <r>
    <n v="1769"/>
    <s v="07-06-2025"/>
    <x v="0"/>
    <x v="0"/>
    <x v="4"/>
    <s v="Electronics"/>
    <n v="2"/>
    <n v="179"/>
    <x v="697"/>
    <n v="272"/>
    <x v="629"/>
    <x v="1"/>
    <s v="Returning"/>
    <s v="Low Profit"/>
    <x v="5"/>
  </r>
  <r>
    <n v="1770"/>
    <s v="28-03-2025"/>
    <x v="0"/>
    <x v="3"/>
    <x v="4"/>
    <s v="Electronics"/>
    <n v="9"/>
    <n v="650"/>
    <x v="698"/>
    <n v="4504"/>
    <x v="630"/>
    <x v="4"/>
    <s v="New"/>
    <s v="High Profit"/>
    <x v="2"/>
  </r>
  <r>
    <n v="1771"/>
    <s v="07-04-2025"/>
    <x v="3"/>
    <x v="0"/>
    <x v="5"/>
    <s v="Accessories"/>
    <n v="8"/>
    <n v="535"/>
    <x v="699"/>
    <n v="3381"/>
    <x v="631"/>
    <x v="3"/>
    <s v="New"/>
    <s v="High Profit"/>
    <x v="4"/>
  </r>
  <r>
    <n v="1772"/>
    <s v="20-02-2025"/>
    <x v="0"/>
    <x v="0"/>
    <x v="2"/>
    <s v="Electronics"/>
    <n v="1"/>
    <n v="799"/>
    <x v="700"/>
    <n v="631"/>
    <x v="120"/>
    <x v="0"/>
    <s v="Returning"/>
    <s v="Low Profit"/>
    <x v="0"/>
  </r>
  <r>
    <n v="1773"/>
    <s v="06-01-2025"/>
    <x v="0"/>
    <x v="0"/>
    <x v="3"/>
    <s v="Electronics"/>
    <n v="4"/>
    <n v="730"/>
    <x v="701"/>
    <n v="2044"/>
    <x v="632"/>
    <x v="3"/>
    <s v="Returning"/>
    <s v="High Profit"/>
    <x v="3"/>
  </r>
  <r>
    <n v="1774"/>
    <s v="23-05-2025"/>
    <x v="2"/>
    <x v="3"/>
    <x v="3"/>
    <s v="Electronics"/>
    <n v="1"/>
    <n v="214"/>
    <x v="702"/>
    <n v="164"/>
    <x v="633"/>
    <x v="0"/>
    <s v="Returning"/>
    <s v="Low Profit"/>
    <x v="1"/>
  </r>
  <r>
    <n v="1775"/>
    <s v="10-02-2025"/>
    <x v="0"/>
    <x v="2"/>
    <x v="1"/>
    <s v="Accessories"/>
    <n v="6"/>
    <n v="490"/>
    <x v="222"/>
    <n v="1793"/>
    <x v="634"/>
    <x v="2"/>
    <s v="New"/>
    <s v="High Profit"/>
    <x v="0"/>
  </r>
  <r>
    <n v="1776"/>
    <s v="23-02-2025"/>
    <x v="1"/>
    <x v="2"/>
    <x v="0"/>
    <s v="Electronics"/>
    <n v="5"/>
    <n v="103"/>
    <x v="703"/>
    <n v="355"/>
    <x v="129"/>
    <x v="4"/>
    <s v="Returning"/>
    <s v="Low Profit"/>
    <x v="0"/>
  </r>
  <r>
    <n v="1777"/>
    <s v="21-03-2025"/>
    <x v="3"/>
    <x v="0"/>
    <x v="5"/>
    <s v="Accessories"/>
    <n v="6"/>
    <n v="981"/>
    <x v="704"/>
    <n v="4237"/>
    <x v="635"/>
    <x v="1"/>
    <s v="Returning"/>
    <s v="High Profit"/>
    <x v="2"/>
  </r>
  <r>
    <n v="1561"/>
    <s v="30-03-2025"/>
    <x v="3"/>
    <x v="1"/>
    <x v="3"/>
    <s v="Electronics"/>
    <n v="1"/>
    <n v="835"/>
    <x v="705"/>
    <n v="559"/>
    <x v="358"/>
    <x v="2"/>
    <s v="Returning"/>
    <s v="High Profit"/>
    <x v="2"/>
  </r>
  <r>
    <n v="1538"/>
    <s v="24-01-2025"/>
    <x v="3"/>
    <x v="3"/>
    <x v="2"/>
    <s v="Electronics"/>
    <n v="3"/>
    <n v="303"/>
    <x v="706"/>
    <n v="654"/>
    <x v="636"/>
    <x v="2"/>
    <s v="New"/>
    <s v="High Profit"/>
    <x v="3"/>
  </r>
  <r>
    <n v="1780"/>
    <s v="14-06-2025"/>
    <x v="0"/>
    <x v="1"/>
    <x v="4"/>
    <s v="Electronics"/>
    <n v="3"/>
    <n v="694"/>
    <x v="707"/>
    <n v="1623"/>
    <x v="521"/>
    <x v="2"/>
    <s v="Returning"/>
    <s v="High Profit"/>
    <x v="5"/>
  </r>
  <r>
    <n v="1781"/>
    <s v="06-04-2025"/>
    <x v="2"/>
    <x v="2"/>
    <x v="3"/>
    <s v="Electronics"/>
    <n v="3"/>
    <n v="583"/>
    <x v="708"/>
    <n v="1101"/>
    <x v="143"/>
    <x v="2"/>
    <s v="New"/>
    <s v="High Profit"/>
    <x v="4"/>
  </r>
  <r>
    <n v="1242"/>
    <s v="18-04-2025"/>
    <x v="3"/>
    <x v="1"/>
    <x v="4"/>
    <s v="Electronics"/>
    <n v="2"/>
    <n v="538"/>
    <x v="709"/>
    <n v="828"/>
    <x v="610"/>
    <x v="4"/>
    <s v="New"/>
    <s v="High Profit"/>
    <x v="4"/>
  </r>
  <r>
    <n v="1960"/>
    <s v="13-02-2025"/>
    <x v="3"/>
    <x v="1"/>
    <x v="0"/>
    <s v="Electronics"/>
    <n v="1"/>
    <n v="728"/>
    <x v="710"/>
    <n v="480"/>
    <x v="610"/>
    <x v="1"/>
    <s v="New"/>
    <s v="High Profit"/>
    <x v="0"/>
  </r>
  <r>
    <n v="1784"/>
    <s v="15-05-2025"/>
    <x v="1"/>
    <x v="0"/>
    <x v="2"/>
    <s v="Electronics"/>
    <n v="2"/>
    <n v="443"/>
    <x v="711"/>
    <n v="531"/>
    <x v="280"/>
    <x v="1"/>
    <s v="New"/>
    <s v="High Profit"/>
    <x v="1"/>
  </r>
  <r>
    <n v="1785"/>
    <s v="06-06-2025"/>
    <x v="2"/>
    <x v="1"/>
    <x v="0"/>
    <s v="Electronics"/>
    <n v="10"/>
    <n v="535"/>
    <x v="712"/>
    <n v="3959"/>
    <x v="637"/>
    <x v="4"/>
    <s v="Returning"/>
    <s v="High Profit"/>
    <x v="5"/>
  </r>
  <r>
    <n v="1786"/>
    <s v="08-06-2025"/>
    <x v="2"/>
    <x v="0"/>
    <x v="1"/>
    <s v="Accessories"/>
    <n v="8"/>
    <n v="360"/>
    <x v="143"/>
    <n v="2246"/>
    <x v="638"/>
    <x v="3"/>
    <s v="Returning"/>
    <s v="High Profit"/>
    <x v="5"/>
  </r>
  <r>
    <n v="1787"/>
    <s v="28-02-2025"/>
    <x v="2"/>
    <x v="0"/>
    <x v="4"/>
    <s v="Electronics"/>
    <n v="1"/>
    <n v="101"/>
    <x v="713"/>
    <n v="63"/>
    <x v="639"/>
    <x v="2"/>
    <s v="New"/>
    <s v="Low Profit"/>
    <x v="0"/>
  </r>
  <r>
    <n v="1788"/>
    <s v="06-03-2025"/>
    <x v="2"/>
    <x v="3"/>
    <x v="0"/>
    <s v="Electronics"/>
    <n v="8"/>
    <n v="818"/>
    <x v="714"/>
    <n v="4122"/>
    <x v="640"/>
    <x v="2"/>
    <s v="Returning"/>
    <s v="High Profit"/>
    <x v="2"/>
  </r>
  <r>
    <n v="1789"/>
    <s v="17-03-2025"/>
    <x v="0"/>
    <x v="2"/>
    <x v="1"/>
    <s v="Accessories"/>
    <n v="6"/>
    <n v="845"/>
    <x v="715"/>
    <n v="3802"/>
    <x v="253"/>
    <x v="0"/>
    <s v="New"/>
    <s v="High Profit"/>
    <x v="2"/>
  </r>
  <r>
    <n v="1790"/>
    <s v="09-02-2025"/>
    <x v="2"/>
    <x v="2"/>
    <x v="4"/>
    <s v="Electronics"/>
    <n v="7"/>
    <n v="132"/>
    <x v="716"/>
    <n v="665"/>
    <x v="641"/>
    <x v="0"/>
    <s v="Returning"/>
    <s v="High Profit"/>
    <x v="0"/>
  </r>
  <r>
    <n v="1791"/>
    <s v="07-01-2025"/>
    <x v="0"/>
    <x v="2"/>
    <x v="5"/>
    <s v="Accessories"/>
    <n v="2"/>
    <n v="531"/>
    <x v="255"/>
    <n v="743"/>
    <x v="158"/>
    <x v="3"/>
    <s v="Returning"/>
    <s v="High Profit"/>
    <x v="3"/>
  </r>
  <r>
    <n v="1792"/>
    <s v="14-02-2025"/>
    <x v="1"/>
    <x v="0"/>
    <x v="1"/>
    <s v="Accessories"/>
    <n v="10"/>
    <n v="944"/>
    <x v="717"/>
    <n v="6041"/>
    <x v="642"/>
    <x v="1"/>
    <s v="New"/>
    <s v="High Profit"/>
    <x v="0"/>
  </r>
  <r>
    <n v="1793"/>
    <s v="16-04-2025"/>
    <x v="0"/>
    <x v="1"/>
    <x v="0"/>
    <s v="Electronics"/>
    <n v="4"/>
    <n v="674"/>
    <x v="718"/>
    <n v="1671"/>
    <x v="643"/>
    <x v="4"/>
    <s v="New"/>
    <s v="High Profit"/>
    <x v="4"/>
  </r>
  <r>
    <n v="1794"/>
    <s v="12-01-2025"/>
    <x v="3"/>
    <x v="0"/>
    <x v="5"/>
    <s v="Accessories"/>
    <n v="10"/>
    <n v="453"/>
    <x v="565"/>
    <n v="2763"/>
    <x v="644"/>
    <x v="4"/>
    <s v="Returning"/>
    <s v="High Profit"/>
    <x v="3"/>
  </r>
  <r>
    <n v="1795"/>
    <s v="18-06-2025"/>
    <x v="1"/>
    <x v="1"/>
    <x v="0"/>
    <s v="Electronics"/>
    <n v="2"/>
    <n v="546"/>
    <x v="719"/>
    <n v="677"/>
    <x v="645"/>
    <x v="0"/>
    <s v="Returning"/>
    <s v="High Profit"/>
    <x v="5"/>
  </r>
  <r>
    <n v="1796"/>
    <s v="18-01-2025"/>
    <x v="1"/>
    <x v="3"/>
    <x v="5"/>
    <s v="Accessories"/>
    <n v="10"/>
    <n v="937"/>
    <x v="720"/>
    <n v="7214"/>
    <x v="394"/>
    <x v="1"/>
    <s v="Returning"/>
    <s v="High Profit"/>
    <x v="3"/>
  </r>
  <r>
    <n v="1944"/>
    <s v="11-01-2025"/>
    <x v="3"/>
    <x v="1"/>
    <x v="3"/>
    <s v="Electronics"/>
    <n v="2"/>
    <n v="316"/>
    <x v="276"/>
    <n v="391"/>
    <x v="343"/>
    <x v="2"/>
    <s v="New"/>
    <s v="High Profit"/>
    <x v="3"/>
  </r>
  <r>
    <n v="1160"/>
    <s v="16-06-2025"/>
    <x v="3"/>
    <x v="2"/>
    <x v="3"/>
    <s v="Electronics"/>
    <n v="5"/>
    <n v="161"/>
    <x v="721"/>
    <n v="571"/>
    <x v="453"/>
    <x v="4"/>
    <s v="New"/>
    <s v="High Profit"/>
    <x v="5"/>
  </r>
  <r>
    <n v="1799"/>
    <s v="09-02-2025"/>
    <x v="1"/>
    <x v="2"/>
    <x v="4"/>
    <s v="Electronics"/>
    <n v="7"/>
    <n v="679"/>
    <x v="722"/>
    <n v="3802"/>
    <x v="646"/>
    <x v="4"/>
    <s v="Returning"/>
    <s v="High Profit"/>
    <x v="0"/>
  </r>
  <r>
    <n v="1800"/>
    <s v="12-02-2025"/>
    <x v="1"/>
    <x v="2"/>
    <x v="2"/>
    <s v="Electronics"/>
    <n v="4"/>
    <n v="283"/>
    <x v="723"/>
    <n v="713"/>
    <x v="647"/>
    <x v="3"/>
    <s v="Returning"/>
    <s v="High Profit"/>
    <x v="0"/>
  </r>
  <r>
    <n v="1801"/>
    <s v="17-06-2025"/>
    <x v="2"/>
    <x v="2"/>
    <x v="1"/>
    <s v="Accessories"/>
    <n v="4"/>
    <n v="96"/>
    <x v="724"/>
    <n v="303"/>
    <x v="648"/>
    <x v="4"/>
    <s v="New"/>
    <s v="Low Profit"/>
    <x v="5"/>
  </r>
  <r>
    <n v="1802"/>
    <s v="22-03-2025"/>
    <x v="2"/>
    <x v="1"/>
    <x v="3"/>
    <s v="Electronics"/>
    <n v="9"/>
    <n v="175"/>
    <x v="725"/>
    <n v="1023"/>
    <x v="649"/>
    <x v="1"/>
    <s v="New"/>
    <s v="High Profit"/>
    <x v="2"/>
  </r>
  <r>
    <n v="1803"/>
    <s v="08-03-2025"/>
    <x v="1"/>
    <x v="1"/>
    <x v="4"/>
    <s v="Electronics"/>
    <n v="9"/>
    <n v="420"/>
    <x v="726"/>
    <n v="2608"/>
    <x v="650"/>
    <x v="4"/>
    <s v="Returning"/>
    <s v="High Profit"/>
    <x v="2"/>
  </r>
  <r>
    <n v="1778"/>
    <s v="06-01-2025"/>
    <x v="3"/>
    <x v="2"/>
    <x v="0"/>
    <s v="Electronics"/>
    <n v="2"/>
    <n v="354"/>
    <x v="0"/>
    <n v="488"/>
    <x v="651"/>
    <x v="0"/>
    <s v="Returning"/>
    <s v="High Profit"/>
    <x v="3"/>
  </r>
  <r>
    <n v="1805"/>
    <s v="06-06-2025"/>
    <x v="2"/>
    <x v="2"/>
    <x v="0"/>
    <s v="Electronics"/>
    <n v="8"/>
    <n v="766"/>
    <x v="727"/>
    <n v="4044"/>
    <x v="335"/>
    <x v="4"/>
    <s v="Returning"/>
    <s v="High Profit"/>
    <x v="5"/>
  </r>
  <r>
    <n v="1806"/>
    <s v="11-02-2025"/>
    <x v="3"/>
    <x v="0"/>
    <x v="5"/>
    <s v="Accessories"/>
    <n v="3"/>
    <n v="236"/>
    <x v="0"/>
    <n v="474"/>
    <x v="453"/>
    <x v="4"/>
    <s v="New"/>
    <s v="High Profit"/>
    <x v="0"/>
  </r>
  <r>
    <n v="1807"/>
    <s v="06-04-2025"/>
    <x v="0"/>
    <x v="0"/>
    <x v="5"/>
    <s v="Accessories"/>
    <n v="4"/>
    <n v="319"/>
    <x v="728"/>
    <n v="982"/>
    <x v="652"/>
    <x v="0"/>
    <s v="New"/>
    <s v="High Profit"/>
    <x v="4"/>
  </r>
  <r>
    <n v="1808"/>
    <s v="20-04-2025"/>
    <x v="0"/>
    <x v="0"/>
    <x v="5"/>
    <s v="Accessories"/>
    <n v="10"/>
    <n v="106"/>
    <x v="729"/>
    <n v="678"/>
    <x v="440"/>
    <x v="0"/>
    <s v="New"/>
    <s v="High Profit"/>
    <x v="4"/>
  </r>
  <r>
    <n v="1809"/>
    <s v="01-01-2025"/>
    <x v="2"/>
    <x v="2"/>
    <x v="3"/>
    <s v="Electronics"/>
    <n v="10"/>
    <n v="445"/>
    <x v="730"/>
    <n v="3115"/>
    <x v="198"/>
    <x v="2"/>
    <s v="New"/>
    <s v="High Profit"/>
    <x v="3"/>
  </r>
  <r>
    <n v="1316"/>
    <s v="22-02-2025"/>
    <x v="3"/>
    <x v="0"/>
    <x v="0"/>
    <s v="Electronics"/>
    <n v="3"/>
    <n v="252"/>
    <x v="731"/>
    <n v="551"/>
    <x v="279"/>
    <x v="1"/>
    <s v="Returning"/>
    <s v="High Profit"/>
    <x v="0"/>
  </r>
  <r>
    <n v="1686"/>
    <s v="26-04-2025"/>
    <x v="3"/>
    <x v="1"/>
    <x v="4"/>
    <s v="Electronics"/>
    <n v="6"/>
    <n v="94"/>
    <x v="732"/>
    <n v="360"/>
    <x v="653"/>
    <x v="2"/>
    <s v="New"/>
    <s v="High Profit"/>
    <x v="4"/>
  </r>
  <r>
    <n v="1812"/>
    <s v="21-01-2025"/>
    <x v="2"/>
    <x v="0"/>
    <x v="5"/>
    <s v="Accessories"/>
    <n v="5"/>
    <n v="456"/>
    <x v="478"/>
    <n v="1436"/>
    <x v="654"/>
    <x v="1"/>
    <s v="New"/>
    <s v="High Profit"/>
    <x v="3"/>
  </r>
  <r>
    <n v="1157"/>
    <s v="12-03-2025"/>
    <x v="3"/>
    <x v="1"/>
    <x v="0"/>
    <s v="Electronics"/>
    <n v="2"/>
    <n v="291"/>
    <x v="733"/>
    <n v="384"/>
    <x v="655"/>
    <x v="2"/>
    <s v="Returning"/>
    <s v="High Profit"/>
    <x v="2"/>
  </r>
  <r>
    <n v="1814"/>
    <s v="21-03-2025"/>
    <x v="0"/>
    <x v="1"/>
    <x v="3"/>
    <s v="Electronics"/>
    <n v="6"/>
    <n v="625"/>
    <x v="219"/>
    <n v="2325"/>
    <x v="656"/>
    <x v="3"/>
    <s v="Returning"/>
    <s v="High Profit"/>
    <x v="2"/>
  </r>
  <r>
    <n v="1815"/>
    <s v="19-02-2025"/>
    <x v="0"/>
    <x v="1"/>
    <x v="4"/>
    <s v="Electronics"/>
    <n v="7"/>
    <n v="684"/>
    <x v="734"/>
    <n v="3399"/>
    <x v="657"/>
    <x v="2"/>
    <s v="New"/>
    <s v="High Profit"/>
    <x v="0"/>
  </r>
  <r>
    <n v="1816"/>
    <s v="14-03-2025"/>
    <x v="0"/>
    <x v="2"/>
    <x v="1"/>
    <s v="Accessories"/>
    <n v="6"/>
    <n v="801"/>
    <x v="735"/>
    <n v="3268"/>
    <x v="334"/>
    <x v="3"/>
    <s v="New"/>
    <s v="High Profit"/>
    <x v="2"/>
  </r>
  <r>
    <n v="1717"/>
    <s v="21-06-2025"/>
    <x v="3"/>
    <x v="1"/>
    <x v="0"/>
    <s v="Electronics"/>
    <n v="2"/>
    <n v="389"/>
    <x v="736"/>
    <n v="583"/>
    <x v="658"/>
    <x v="1"/>
    <s v="Returning"/>
    <s v="High Profit"/>
    <x v="5"/>
  </r>
  <r>
    <n v="1818"/>
    <s v="23-06-2025"/>
    <x v="3"/>
    <x v="0"/>
    <x v="1"/>
    <s v="Accessories"/>
    <n v="9"/>
    <n v="517"/>
    <x v="737"/>
    <n v="3396"/>
    <x v="438"/>
    <x v="3"/>
    <s v="Returning"/>
    <s v="High Profit"/>
    <x v="5"/>
  </r>
  <r>
    <n v="1819"/>
    <s v="11-05-2025"/>
    <x v="3"/>
    <x v="3"/>
    <x v="5"/>
    <s v="Accessories"/>
    <n v="9"/>
    <n v="616"/>
    <x v="738"/>
    <n v="4324"/>
    <x v="659"/>
    <x v="1"/>
    <s v="Returning"/>
    <s v="High Profit"/>
    <x v="1"/>
  </r>
  <r>
    <n v="1820"/>
    <s v="03-01-2025"/>
    <x v="0"/>
    <x v="1"/>
    <x v="2"/>
    <s v="Electronics"/>
    <n v="1"/>
    <n v="941"/>
    <x v="739"/>
    <n v="564"/>
    <x v="525"/>
    <x v="0"/>
    <s v="New"/>
    <s v="High Profit"/>
    <x v="3"/>
  </r>
  <r>
    <n v="1821"/>
    <s v="03-06-2025"/>
    <x v="1"/>
    <x v="1"/>
    <x v="1"/>
    <s v="Accessories"/>
    <n v="6"/>
    <n v="784"/>
    <x v="740"/>
    <n v="3433"/>
    <x v="660"/>
    <x v="3"/>
    <s v="Returning"/>
    <s v="High Profit"/>
    <x v="5"/>
  </r>
  <r>
    <n v="1822"/>
    <s v="05-06-2025"/>
    <x v="1"/>
    <x v="2"/>
    <x v="5"/>
    <s v="Accessories"/>
    <n v="7"/>
    <n v="151"/>
    <x v="741"/>
    <n v="708"/>
    <x v="661"/>
    <x v="1"/>
    <s v="New"/>
    <s v="High Profit"/>
    <x v="5"/>
  </r>
  <r>
    <n v="1823"/>
    <s v="20-05-2025"/>
    <x v="0"/>
    <x v="1"/>
    <x v="3"/>
    <s v="Electronics"/>
    <n v="4"/>
    <n v="882"/>
    <x v="545"/>
    <n v="2187"/>
    <x v="662"/>
    <x v="2"/>
    <s v="Returning"/>
    <s v="High Profit"/>
    <x v="1"/>
  </r>
  <r>
    <n v="1824"/>
    <s v="10-06-2025"/>
    <x v="0"/>
    <x v="3"/>
    <x v="0"/>
    <s v="Electronics"/>
    <n v="6"/>
    <n v="369"/>
    <x v="742"/>
    <n v="1749"/>
    <x v="127"/>
    <x v="3"/>
    <s v="Returning"/>
    <s v="High Profit"/>
    <x v="5"/>
  </r>
  <r>
    <n v="1825"/>
    <s v="14-06-2025"/>
    <x v="1"/>
    <x v="3"/>
    <x v="4"/>
    <s v="Electronics"/>
    <n v="5"/>
    <n v="351"/>
    <x v="743"/>
    <n v="1123"/>
    <x v="150"/>
    <x v="4"/>
    <s v="Returning"/>
    <s v="High Profit"/>
    <x v="5"/>
  </r>
  <r>
    <n v="1826"/>
    <s v="13-04-2025"/>
    <x v="2"/>
    <x v="2"/>
    <x v="3"/>
    <s v="Electronics"/>
    <n v="10"/>
    <n v="371"/>
    <x v="744"/>
    <n v="2930"/>
    <x v="663"/>
    <x v="2"/>
    <s v="Returning"/>
    <s v="High Profit"/>
    <x v="4"/>
  </r>
  <r>
    <n v="1827"/>
    <s v="23-06-2025"/>
    <x v="1"/>
    <x v="3"/>
    <x v="3"/>
    <s v="Electronics"/>
    <n v="9"/>
    <n v="824"/>
    <x v="149"/>
    <n v="5265"/>
    <x v="664"/>
    <x v="3"/>
    <s v="Returning"/>
    <s v="High Profit"/>
    <x v="5"/>
  </r>
  <r>
    <n v="1539"/>
    <s v="02-06-2025"/>
    <x v="3"/>
    <x v="2"/>
    <x v="3"/>
    <s v="Electronics"/>
    <n v="4"/>
    <n v="170"/>
    <x v="252"/>
    <n v="489"/>
    <x v="665"/>
    <x v="0"/>
    <s v="Returning"/>
    <s v="High Profit"/>
    <x v="5"/>
  </r>
  <r>
    <n v="1447"/>
    <s v="05-01-2025"/>
    <x v="3"/>
    <x v="0"/>
    <x v="3"/>
    <s v="Electronics"/>
    <n v="1"/>
    <n v="708"/>
    <x v="0"/>
    <n v="523"/>
    <x v="666"/>
    <x v="0"/>
    <s v="Returning"/>
    <s v="High Profit"/>
    <x v="3"/>
  </r>
  <r>
    <n v="1928"/>
    <s v="04-03-2025"/>
    <x v="3"/>
    <x v="3"/>
    <x v="4"/>
    <s v="Electronics"/>
    <n v="3"/>
    <n v="175"/>
    <x v="32"/>
    <n v="346"/>
    <x v="667"/>
    <x v="3"/>
    <s v="New"/>
    <s v="Low Profit"/>
    <x v="2"/>
  </r>
  <r>
    <n v="1831"/>
    <s v="12-03-2025"/>
    <x v="3"/>
    <x v="0"/>
    <x v="1"/>
    <s v="Accessories"/>
    <n v="9"/>
    <n v="847"/>
    <x v="745"/>
    <n v="6022"/>
    <x v="668"/>
    <x v="4"/>
    <s v="Returning"/>
    <s v="High Profit"/>
    <x v="2"/>
  </r>
  <r>
    <n v="1832"/>
    <s v="16-02-2025"/>
    <x v="1"/>
    <x v="3"/>
    <x v="1"/>
    <s v="Accessories"/>
    <n v="2"/>
    <n v="349"/>
    <x v="746"/>
    <n v="439"/>
    <x v="641"/>
    <x v="2"/>
    <s v="Returning"/>
    <s v="High Profit"/>
    <x v="0"/>
  </r>
  <r>
    <n v="1833"/>
    <s v="04-05-2025"/>
    <x v="2"/>
    <x v="3"/>
    <x v="4"/>
    <s v="Electronics"/>
    <n v="10"/>
    <n v="821"/>
    <x v="747"/>
    <n v="5090"/>
    <x v="669"/>
    <x v="0"/>
    <s v="Returning"/>
    <s v="High Profit"/>
    <x v="1"/>
  </r>
  <r>
    <n v="1834"/>
    <s v="09-06-2025"/>
    <x v="0"/>
    <x v="2"/>
    <x v="3"/>
    <s v="Electronics"/>
    <n v="4"/>
    <n v="943"/>
    <x v="748"/>
    <n v="2300"/>
    <x v="670"/>
    <x v="1"/>
    <s v="Returning"/>
    <s v="High Profit"/>
    <x v="5"/>
  </r>
  <r>
    <n v="1835"/>
    <s v="29-04-2025"/>
    <x v="1"/>
    <x v="3"/>
    <x v="1"/>
    <s v="Accessories"/>
    <n v="6"/>
    <n v="214"/>
    <x v="749"/>
    <n v="834"/>
    <x v="304"/>
    <x v="1"/>
    <s v="New"/>
    <s v="High Profit"/>
    <x v="4"/>
  </r>
  <r>
    <n v="1836"/>
    <s v="14-03-2025"/>
    <x v="2"/>
    <x v="1"/>
    <x v="1"/>
    <s v="Accessories"/>
    <n v="1"/>
    <n v="330"/>
    <x v="750"/>
    <n v="237"/>
    <x v="671"/>
    <x v="1"/>
    <s v="New"/>
    <s v="Low Profit"/>
    <x v="2"/>
  </r>
  <r>
    <n v="1837"/>
    <s v="25-06-2025"/>
    <x v="2"/>
    <x v="3"/>
    <x v="4"/>
    <s v="Electronics"/>
    <n v="9"/>
    <n v="986"/>
    <x v="23"/>
    <n v="5768"/>
    <x v="23"/>
    <x v="1"/>
    <s v="Returning"/>
    <s v="High Profit"/>
    <x v="5"/>
  </r>
  <r>
    <n v="1838"/>
    <s v="30-04-2025"/>
    <x v="0"/>
    <x v="3"/>
    <x v="1"/>
    <s v="Accessories"/>
    <n v="1"/>
    <n v="872"/>
    <x v="751"/>
    <n v="627"/>
    <x v="672"/>
    <x v="3"/>
    <s v="Returning"/>
    <s v="High Profit"/>
    <x v="4"/>
  </r>
  <r>
    <n v="1839"/>
    <s v="26-01-2025"/>
    <x v="2"/>
    <x v="2"/>
    <x v="0"/>
    <s v="Electronics"/>
    <n v="6"/>
    <n v="279"/>
    <x v="389"/>
    <n v="1071"/>
    <x v="673"/>
    <x v="0"/>
    <s v="Returning"/>
    <s v="High Profit"/>
    <x v="3"/>
  </r>
  <r>
    <n v="1840"/>
    <s v="08-03-2025"/>
    <x v="0"/>
    <x v="1"/>
    <x v="5"/>
    <s v="Accessories"/>
    <n v="6"/>
    <n v="198"/>
    <x v="303"/>
    <n v="891"/>
    <x v="674"/>
    <x v="1"/>
    <s v="Returning"/>
    <s v="High Profit"/>
    <x v="2"/>
  </r>
  <r>
    <n v="1841"/>
    <s v="22-04-2025"/>
    <x v="2"/>
    <x v="2"/>
    <x v="3"/>
    <s v="Electronics"/>
    <n v="8"/>
    <n v="659"/>
    <x v="249"/>
    <n v="3479"/>
    <x v="675"/>
    <x v="2"/>
    <s v="New"/>
    <s v="High Profit"/>
    <x v="4"/>
  </r>
  <r>
    <n v="1842"/>
    <s v="27-04-2025"/>
    <x v="1"/>
    <x v="2"/>
    <x v="4"/>
    <s v="Electronics"/>
    <n v="10"/>
    <n v="608"/>
    <x v="752"/>
    <n v="4560"/>
    <x v="676"/>
    <x v="2"/>
    <s v="New"/>
    <s v="High Profit"/>
    <x v="4"/>
  </r>
  <r>
    <n v="1843"/>
    <s v="28-04-2025"/>
    <x v="1"/>
    <x v="3"/>
    <x v="1"/>
    <s v="Accessories"/>
    <n v="4"/>
    <n v="153"/>
    <x v="753"/>
    <n v="403"/>
    <x v="274"/>
    <x v="2"/>
    <s v="New"/>
    <s v="High Profit"/>
    <x v="4"/>
  </r>
  <r>
    <n v="1844"/>
    <s v="08-02-2025"/>
    <x v="2"/>
    <x v="2"/>
    <x v="2"/>
    <s v="Electronics"/>
    <n v="2"/>
    <n v="922"/>
    <x v="754"/>
    <n v="1419"/>
    <x v="677"/>
    <x v="3"/>
    <s v="Returning"/>
    <s v="High Profit"/>
    <x v="0"/>
  </r>
  <r>
    <n v="1845"/>
    <s v="08-04-2025"/>
    <x v="1"/>
    <x v="0"/>
    <x v="3"/>
    <s v="Electronics"/>
    <n v="5"/>
    <n v="731"/>
    <x v="755"/>
    <n v="2924"/>
    <x v="678"/>
    <x v="4"/>
    <s v="New"/>
    <s v="High Profit"/>
    <x v="4"/>
  </r>
  <r>
    <n v="1846"/>
    <s v="05-06-2025"/>
    <x v="1"/>
    <x v="1"/>
    <x v="2"/>
    <s v="Electronics"/>
    <n v="7"/>
    <n v="884"/>
    <x v="756"/>
    <n v="4084"/>
    <x v="679"/>
    <x v="1"/>
    <s v="New"/>
    <s v="High Profit"/>
    <x v="5"/>
  </r>
  <r>
    <n v="1847"/>
    <s v="17-06-2025"/>
    <x v="2"/>
    <x v="2"/>
    <x v="5"/>
    <s v="Accessories"/>
    <n v="1"/>
    <n v="869"/>
    <x v="757"/>
    <n v="608"/>
    <x v="315"/>
    <x v="0"/>
    <s v="Returning"/>
    <s v="High Profit"/>
    <x v="5"/>
  </r>
  <r>
    <n v="1848"/>
    <s v="28-05-2025"/>
    <x v="1"/>
    <x v="0"/>
    <x v="1"/>
    <s v="Accessories"/>
    <n v="6"/>
    <n v="991"/>
    <x v="758"/>
    <n v="4043"/>
    <x v="680"/>
    <x v="3"/>
    <s v="Returning"/>
    <s v="High Profit"/>
    <x v="1"/>
  </r>
  <r>
    <n v="1849"/>
    <s v="25-05-2025"/>
    <x v="0"/>
    <x v="3"/>
    <x v="2"/>
    <s v="Electronics"/>
    <n v="3"/>
    <n v="504"/>
    <x v="759"/>
    <n v="982"/>
    <x v="681"/>
    <x v="0"/>
    <s v="Returning"/>
    <s v="High Profit"/>
    <x v="1"/>
  </r>
  <r>
    <n v="1850"/>
    <s v="27-02-2025"/>
    <x v="2"/>
    <x v="3"/>
    <x v="2"/>
    <s v="Electronics"/>
    <n v="3"/>
    <n v="993"/>
    <x v="760"/>
    <n v="2025"/>
    <x v="682"/>
    <x v="2"/>
    <s v="New"/>
    <s v="High Profit"/>
    <x v="0"/>
  </r>
  <r>
    <n v="1851"/>
    <s v="17-05-2025"/>
    <x v="3"/>
    <x v="0"/>
    <x v="5"/>
    <s v="Accessories"/>
    <n v="10"/>
    <n v="458"/>
    <x v="761"/>
    <n v="3022"/>
    <x v="683"/>
    <x v="4"/>
    <s v="Returning"/>
    <s v="High Profit"/>
    <x v="1"/>
  </r>
  <r>
    <n v="1852"/>
    <s v="24-04-2025"/>
    <x v="2"/>
    <x v="0"/>
    <x v="2"/>
    <s v="Electronics"/>
    <n v="5"/>
    <n v="426"/>
    <x v="762"/>
    <n v="1448"/>
    <x v="684"/>
    <x v="2"/>
    <s v="New"/>
    <s v="High Profit"/>
    <x v="4"/>
  </r>
  <r>
    <n v="1853"/>
    <s v="06-05-2025"/>
    <x v="1"/>
    <x v="3"/>
    <x v="2"/>
    <s v="Electronics"/>
    <n v="3"/>
    <n v="159"/>
    <x v="763"/>
    <n v="362"/>
    <x v="685"/>
    <x v="1"/>
    <s v="Returning"/>
    <s v="Low Profit"/>
    <x v="1"/>
  </r>
  <r>
    <n v="1854"/>
    <s v="19-06-2025"/>
    <x v="0"/>
    <x v="2"/>
    <x v="3"/>
    <s v="Electronics"/>
    <n v="7"/>
    <n v="822"/>
    <x v="764"/>
    <n v="4488"/>
    <x v="686"/>
    <x v="0"/>
    <s v="Returning"/>
    <s v="High Profit"/>
    <x v="5"/>
  </r>
  <r>
    <n v="1855"/>
    <s v="25-01-2025"/>
    <x v="1"/>
    <x v="3"/>
    <x v="5"/>
    <s v="Accessories"/>
    <n v="8"/>
    <n v="758"/>
    <x v="460"/>
    <n v="4244"/>
    <x v="687"/>
    <x v="1"/>
    <s v="Returning"/>
    <s v="High Profit"/>
    <x v="3"/>
  </r>
  <r>
    <n v="1856"/>
    <s v="06-04-2025"/>
    <x v="0"/>
    <x v="0"/>
    <x v="0"/>
    <s v="Electronics"/>
    <n v="7"/>
    <n v="449"/>
    <x v="765"/>
    <n v="2262"/>
    <x v="688"/>
    <x v="0"/>
    <s v="Returning"/>
    <s v="High Profit"/>
    <x v="4"/>
  </r>
  <r>
    <n v="1857"/>
    <s v="13-05-2025"/>
    <x v="2"/>
    <x v="3"/>
    <x v="5"/>
    <s v="Accessories"/>
    <n v="5"/>
    <n v="793"/>
    <x v="766"/>
    <n v="2537"/>
    <x v="689"/>
    <x v="3"/>
    <s v="New"/>
    <s v="High Profit"/>
    <x v="1"/>
  </r>
  <r>
    <n v="1858"/>
    <s v="01-04-2025"/>
    <x v="1"/>
    <x v="0"/>
    <x v="4"/>
    <s v="Electronics"/>
    <n v="10"/>
    <n v="480"/>
    <x v="767"/>
    <n v="3600"/>
    <x v="582"/>
    <x v="0"/>
    <s v="New"/>
    <s v="High Profit"/>
    <x v="4"/>
  </r>
  <r>
    <n v="1859"/>
    <s v="26-02-2025"/>
    <x v="0"/>
    <x v="1"/>
    <x v="1"/>
    <s v="Accessories"/>
    <n v="1"/>
    <n v="364"/>
    <x v="768"/>
    <n v="273"/>
    <x v="690"/>
    <x v="0"/>
    <s v="Returning"/>
    <s v="Low Profit"/>
    <x v="0"/>
  </r>
  <r>
    <n v="1292"/>
    <s v="26-01-2025"/>
    <x v="3"/>
    <x v="2"/>
    <x v="4"/>
    <s v="Electronics"/>
    <n v="9"/>
    <n v="66"/>
    <x v="769"/>
    <n v="427"/>
    <x v="691"/>
    <x v="4"/>
    <s v="Returning"/>
    <s v="Low Profit"/>
    <x v="3"/>
  </r>
  <r>
    <n v="1861"/>
    <s v="12-06-2025"/>
    <x v="3"/>
    <x v="2"/>
    <x v="5"/>
    <s v="Accessories"/>
    <n v="9"/>
    <n v="754"/>
    <x v="770"/>
    <n v="5360"/>
    <x v="692"/>
    <x v="0"/>
    <s v="Returning"/>
    <s v="High Profit"/>
    <x v="5"/>
  </r>
  <r>
    <n v="1862"/>
    <s v="15-01-2025"/>
    <x v="1"/>
    <x v="1"/>
    <x v="2"/>
    <s v="Electronics"/>
    <n v="8"/>
    <n v="355"/>
    <x v="771"/>
    <n v="1902"/>
    <x v="693"/>
    <x v="3"/>
    <s v="Returning"/>
    <s v="High Profit"/>
    <x v="3"/>
  </r>
  <r>
    <n v="1863"/>
    <s v="02-01-2025"/>
    <x v="2"/>
    <x v="2"/>
    <x v="4"/>
    <s v="Electronics"/>
    <n v="4"/>
    <n v="814"/>
    <x v="772"/>
    <n v="2474"/>
    <x v="531"/>
    <x v="3"/>
    <s v="New"/>
    <s v="High Profit"/>
    <x v="3"/>
  </r>
  <r>
    <n v="1864"/>
    <s v="18-03-2025"/>
    <x v="2"/>
    <x v="0"/>
    <x v="0"/>
    <s v="Electronics"/>
    <n v="6"/>
    <n v="847"/>
    <x v="773"/>
    <n v="3404"/>
    <x v="597"/>
    <x v="3"/>
    <s v="New"/>
    <s v="High Profit"/>
    <x v="2"/>
  </r>
  <r>
    <n v="1865"/>
    <s v="02-03-2025"/>
    <x v="2"/>
    <x v="1"/>
    <x v="1"/>
    <s v="Accessories"/>
    <n v="7"/>
    <n v="809"/>
    <x v="774"/>
    <n v="3567"/>
    <x v="694"/>
    <x v="2"/>
    <s v="Returning"/>
    <s v="High Profit"/>
    <x v="2"/>
  </r>
  <r>
    <n v="1866"/>
    <s v="09-02-2025"/>
    <x v="2"/>
    <x v="0"/>
    <x v="5"/>
    <s v="Accessories"/>
    <n v="4"/>
    <n v="272"/>
    <x v="211"/>
    <n v="674"/>
    <x v="549"/>
    <x v="0"/>
    <s v="Returning"/>
    <s v="High Profit"/>
    <x v="0"/>
  </r>
  <r>
    <n v="1867"/>
    <s v="02-05-2025"/>
    <x v="0"/>
    <x v="2"/>
    <x v="4"/>
    <s v="Electronics"/>
    <n v="5"/>
    <n v="866"/>
    <x v="775"/>
    <n v="2944"/>
    <x v="695"/>
    <x v="3"/>
    <s v="Returning"/>
    <s v="High Profit"/>
    <x v="1"/>
  </r>
  <r>
    <n v="1868"/>
    <s v="22-05-2025"/>
    <x v="1"/>
    <x v="1"/>
    <x v="2"/>
    <s v="Electronics"/>
    <n v="3"/>
    <n v="76"/>
    <x v="287"/>
    <n v="166"/>
    <x v="79"/>
    <x v="1"/>
    <s v="Returning"/>
    <s v="Low Profit"/>
    <x v="1"/>
  </r>
  <r>
    <n v="1869"/>
    <s v="13-01-2025"/>
    <x v="0"/>
    <x v="1"/>
    <x v="1"/>
    <s v="Accessories"/>
    <n v="8"/>
    <n v="446"/>
    <x v="776"/>
    <n v="2283"/>
    <x v="366"/>
    <x v="0"/>
    <s v="New"/>
    <s v="High Profit"/>
    <x v="3"/>
  </r>
  <r>
    <n v="1870"/>
    <s v="02-03-2025"/>
    <x v="2"/>
    <x v="0"/>
    <x v="1"/>
    <s v="Accessories"/>
    <n v="5"/>
    <n v="67"/>
    <x v="504"/>
    <n v="251"/>
    <x v="696"/>
    <x v="4"/>
    <s v="New"/>
    <s v="Low Profit"/>
    <x v="2"/>
  </r>
  <r>
    <n v="1871"/>
    <s v="18-06-2025"/>
    <x v="0"/>
    <x v="1"/>
    <x v="1"/>
    <s v="Accessories"/>
    <n v="4"/>
    <n v="702"/>
    <x v="777"/>
    <n v="2049"/>
    <x v="697"/>
    <x v="1"/>
    <s v="Returning"/>
    <s v="High Profit"/>
    <x v="5"/>
  </r>
  <r>
    <n v="1872"/>
    <s v="21-04-2025"/>
    <x v="0"/>
    <x v="3"/>
    <x v="1"/>
    <s v="Accessories"/>
    <n v="8"/>
    <n v="684"/>
    <x v="778"/>
    <n v="3392"/>
    <x v="698"/>
    <x v="0"/>
    <s v="Returning"/>
    <s v="High Profit"/>
    <x v="4"/>
  </r>
  <r>
    <n v="1873"/>
    <s v="12-02-2025"/>
    <x v="1"/>
    <x v="0"/>
    <x v="5"/>
    <s v="Accessories"/>
    <n v="9"/>
    <n v="402"/>
    <x v="551"/>
    <n v="2351"/>
    <x v="699"/>
    <x v="1"/>
    <s v="New"/>
    <s v="High Profit"/>
    <x v="0"/>
  </r>
  <r>
    <n v="1874"/>
    <s v="24-06-2025"/>
    <x v="2"/>
    <x v="0"/>
    <x v="4"/>
    <s v="Electronics"/>
    <n v="3"/>
    <n v="142"/>
    <x v="779"/>
    <n v="340"/>
    <x v="629"/>
    <x v="1"/>
    <s v="Returning"/>
    <s v="Low Profit"/>
    <x v="5"/>
  </r>
  <r>
    <n v="1875"/>
    <s v="25-02-2025"/>
    <x v="3"/>
    <x v="2"/>
    <x v="1"/>
    <s v="Accessories"/>
    <n v="4"/>
    <n v="204"/>
    <x v="780"/>
    <n v="652"/>
    <x v="2"/>
    <x v="4"/>
    <s v="Returning"/>
    <s v="Low Profit"/>
    <x v="0"/>
  </r>
  <r>
    <n v="1876"/>
    <s v="26-03-2025"/>
    <x v="1"/>
    <x v="2"/>
    <x v="0"/>
    <s v="Electronics"/>
    <n v="7"/>
    <n v="290"/>
    <x v="781"/>
    <n v="1481"/>
    <x v="700"/>
    <x v="1"/>
    <s v="Returning"/>
    <s v="High Profit"/>
    <x v="2"/>
  </r>
  <r>
    <n v="1877"/>
    <s v="09-01-2025"/>
    <x v="2"/>
    <x v="0"/>
    <x v="1"/>
    <s v="Accessories"/>
    <n v="9"/>
    <n v="543"/>
    <x v="782"/>
    <n v="3616"/>
    <x v="660"/>
    <x v="0"/>
    <s v="New"/>
    <s v="High Profit"/>
    <x v="3"/>
  </r>
  <r>
    <n v="1878"/>
    <s v="30-04-2025"/>
    <x v="2"/>
    <x v="3"/>
    <x v="3"/>
    <s v="Electronics"/>
    <n v="3"/>
    <n v="127"/>
    <x v="783"/>
    <n v="278"/>
    <x v="344"/>
    <x v="4"/>
    <s v="New"/>
    <s v="Low Profit"/>
    <x v="4"/>
  </r>
  <r>
    <n v="1879"/>
    <s v="21-02-2025"/>
    <x v="2"/>
    <x v="1"/>
    <x v="1"/>
    <s v="Accessories"/>
    <n v="3"/>
    <n v="951"/>
    <x v="668"/>
    <n v="2168"/>
    <x v="701"/>
    <x v="2"/>
    <s v="New"/>
    <s v="High Profit"/>
    <x v="0"/>
  </r>
  <r>
    <n v="1880"/>
    <s v="18-03-2025"/>
    <x v="1"/>
    <x v="1"/>
    <x v="4"/>
    <s v="Electronics"/>
    <n v="2"/>
    <n v="928"/>
    <x v="784"/>
    <n v="1169"/>
    <x v="477"/>
    <x v="2"/>
    <s v="Returning"/>
    <s v="High Profit"/>
    <x v="2"/>
  </r>
  <r>
    <n v="1881"/>
    <s v="06-04-2025"/>
    <x v="3"/>
    <x v="2"/>
    <x v="5"/>
    <s v="Accessories"/>
    <n v="9"/>
    <n v="250"/>
    <x v="537"/>
    <n v="1350"/>
    <x v="252"/>
    <x v="0"/>
    <s v="Returning"/>
    <s v="High Profit"/>
    <x v="4"/>
  </r>
  <r>
    <n v="1882"/>
    <s v="09-01-2025"/>
    <x v="0"/>
    <x v="2"/>
    <x v="5"/>
    <s v="Accessories"/>
    <n v="8"/>
    <n v="178"/>
    <x v="315"/>
    <n v="1096"/>
    <x v="702"/>
    <x v="1"/>
    <s v="New"/>
    <s v="High Profit"/>
    <x v="3"/>
  </r>
  <r>
    <n v="1883"/>
    <s v="23-02-2025"/>
    <x v="0"/>
    <x v="0"/>
    <x v="1"/>
    <s v="Accessories"/>
    <n v="1"/>
    <n v="272"/>
    <x v="785"/>
    <n v="174"/>
    <x v="491"/>
    <x v="0"/>
    <s v="Returning"/>
    <s v="Low Profit"/>
    <x v="0"/>
  </r>
  <r>
    <n v="1884"/>
    <s v="04-06-2025"/>
    <x v="3"/>
    <x v="0"/>
    <x v="1"/>
    <s v="Accessories"/>
    <n v="4"/>
    <n v="902"/>
    <x v="786"/>
    <n v="2345"/>
    <x v="243"/>
    <x v="3"/>
    <s v="New"/>
    <s v="High Profit"/>
    <x v="5"/>
  </r>
  <r>
    <n v="1885"/>
    <s v="26-03-2025"/>
    <x v="1"/>
    <x v="2"/>
    <x v="4"/>
    <s v="Electronics"/>
    <n v="5"/>
    <n v="347"/>
    <x v="787"/>
    <n v="1388"/>
    <x v="92"/>
    <x v="4"/>
    <s v="Returning"/>
    <s v="High Profit"/>
    <x v="2"/>
  </r>
  <r>
    <n v="1886"/>
    <s v="07-03-2025"/>
    <x v="1"/>
    <x v="2"/>
    <x v="1"/>
    <s v="Accessories"/>
    <n v="2"/>
    <n v="251"/>
    <x v="634"/>
    <n v="346"/>
    <x v="542"/>
    <x v="3"/>
    <s v="Returning"/>
    <s v="Low Profit"/>
    <x v="2"/>
  </r>
  <r>
    <n v="1503"/>
    <s v="26-04-2025"/>
    <x v="3"/>
    <x v="0"/>
    <x v="4"/>
    <s v="Electronics"/>
    <n v="9"/>
    <n v="64"/>
    <x v="788"/>
    <n v="420"/>
    <x v="542"/>
    <x v="4"/>
    <s v="New"/>
    <s v="Low Profit"/>
    <x v="4"/>
  </r>
  <r>
    <n v="1888"/>
    <s v="24-03-2025"/>
    <x v="0"/>
    <x v="2"/>
    <x v="4"/>
    <s v="Electronics"/>
    <n v="8"/>
    <n v="604"/>
    <x v="461"/>
    <n v="3817"/>
    <x v="703"/>
    <x v="4"/>
    <s v="New"/>
    <s v="High Profit"/>
    <x v="2"/>
  </r>
  <r>
    <n v="1889"/>
    <s v="16-02-2025"/>
    <x v="1"/>
    <x v="1"/>
    <x v="5"/>
    <s v="Accessories"/>
    <n v="3"/>
    <n v="887"/>
    <x v="582"/>
    <n v="1969"/>
    <x v="704"/>
    <x v="3"/>
    <s v="New"/>
    <s v="High Profit"/>
    <x v="0"/>
  </r>
  <r>
    <n v="1890"/>
    <s v="17-04-2025"/>
    <x v="0"/>
    <x v="1"/>
    <x v="2"/>
    <s v="Electronics"/>
    <n v="5"/>
    <n v="233"/>
    <x v="789"/>
    <n v="745"/>
    <x v="705"/>
    <x v="0"/>
    <s v="Returning"/>
    <s v="High Profit"/>
    <x v="4"/>
  </r>
  <r>
    <n v="1891"/>
    <s v="21-04-2025"/>
    <x v="1"/>
    <x v="3"/>
    <x v="0"/>
    <s v="Electronics"/>
    <n v="5"/>
    <n v="723"/>
    <x v="790"/>
    <n v="2638"/>
    <x v="706"/>
    <x v="4"/>
    <s v="Returning"/>
    <s v="High Profit"/>
    <x v="4"/>
  </r>
  <r>
    <n v="1892"/>
    <s v="10-02-2025"/>
    <x v="0"/>
    <x v="2"/>
    <x v="5"/>
    <s v="Accessories"/>
    <n v="3"/>
    <n v="853"/>
    <x v="791"/>
    <n v="1714"/>
    <x v="707"/>
    <x v="4"/>
    <s v="Returning"/>
    <s v="High Profit"/>
    <x v="0"/>
  </r>
  <r>
    <n v="1893"/>
    <s v="11-01-2025"/>
    <x v="2"/>
    <x v="3"/>
    <x v="1"/>
    <s v="Accessories"/>
    <n v="6"/>
    <n v="104"/>
    <x v="592"/>
    <n v="480"/>
    <x v="269"/>
    <x v="1"/>
    <s v="Returning"/>
    <s v="Low Profit"/>
    <x v="3"/>
  </r>
  <r>
    <n v="1894"/>
    <s v="05-02-2025"/>
    <x v="2"/>
    <x v="0"/>
    <x v="1"/>
    <s v="Accessories"/>
    <n v="8"/>
    <n v="678"/>
    <x v="792"/>
    <n v="4013"/>
    <x v="576"/>
    <x v="1"/>
    <s v="Returning"/>
    <s v="High Profit"/>
    <x v="0"/>
  </r>
  <r>
    <n v="1895"/>
    <s v="04-04-2025"/>
    <x v="1"/>
    <x v="0"/>
    <x v="4"/>
    <s v="Electronics"/>
    <n v="3"/>
    <n v="218"/>
    <x v="452"/>
    <n v="392"/>
    <x v="0"/>
    <x v="3"/>
    <s v="Returning"/>
    <s v="High Profit"/>
    <x v="4"/>
  </r>
  <r>
    <n v="1505"/>
    <s v="09-05-2025"/>
    <x v="3"/>
    <x v="0"/>
    <x v="4"/>
    <s v="Electronics"/>
    <n v="2"/>
    <n v="276"/>
    <x v="644"/>
    <n v="397"/>
    <x v="54"/>
    <x v="3"/>
    <s v="New"/>
    <s v="Low Profit"/>
    <x v="1"/>
  </r>
  <r>
    <n v="1897"/>
    <s v="25-06-2025"/>
    <x v="0"/>
    <x v="1"/>
    <x v="1"/>
    <s v="Accessories"/>
    <n v="3"/>
    <n v="534"/>
    <x v="610"/>
    <n v="961"/>
    <x v="708"/>
    <x v="4"/>
    <s v="Returning"/>
    <s v="High Profit"/>
    <x v="5"/>
  </r>
  <r>
    <n v="1898"/>
    <s v="01-04-2025"/>
    <x v="2"/>
    <x v="3"/>
    <x v="0"/>
    <s v="Electronics"/>
    <n v="4"/>
    <n v="534"/>
    <x v="448"/>
    <n v="1431"/>
    <x v="709"/>
    <x v="1"/>
    <s v="Returning"/>
    <s v="High Profit"/>
    <x v="4"/>
  </r>
  <r>
    <n v="1899"/>
    <s v="06-03-2025"/>
    <x v="0"/>
    <x v="0"/>
    <x v="0"/>
    <s v="Electronics"/>
    <n v="2"/>
    <n v="535"/>
    <x v="793"/>
    <n v="845"/>
    <x v="566"/>
    <x v="4"/>
    <s v="Returning"/>
    <s v="High Profit"/>
    <x v="2"/>
  </r>
  <r>
    <n v="1900"/>
    <s v="01-02-2025"/>
    <x v="2"/>
    <x v="0"/>
    <x v="4"/>
    <s v="Electronics"/>
    <n v="6"/>
    <n v="426"/>
    <x v="794"/>
    <n v="1968"/>
    <x v="710"/>
    <x v="3"/>
    <s v="New"/>
    <s v="High Profit"/>
    <x v="0"/>
  </r>
  <r>
    <n v="1901"/>
    <s v="25-05-2025"/>
    <x v="1"/>
    <x v="3"/>
    <x v="1"/>
    <s v="Accessories"/>
    <n v="4"/>
    <n v="301"/>
    <x v="673"/>
    <n v="806"/>
    <x v="711"/>
    <x v="1"/>
    <s v="New"/>
    <s v="High Profit"/>
    <x v="1"/>
  </r>
  <r>
    <n v="1902"/>
    <s v="23-02-2025"/>
    <x v="0"/>
    <x v="2"/>
    <x v="3"/>
    <s v="Electronics"/>
    <n v="8"/>
    <n v="652"/>
    <x v="795"/>
    <n v="3442"/>
    <x v="712"/>
    <x v="2"/>
    <s v="New"/>
    <s v="High Profit"/>
    <x v="0"/>
  </r>
  <r>
    <n v="1903"/>
    <s v="05-04-2025"/>
    <x v="2"/>
    <x v="2"/>
    <x v="0"/>
    <s v="Electronics"/>
    <n v="6"/>
    <n v="971"/>
    <x v="796"/>
    <n v="4486"/>
    <x v="713"/>
    <x v="2"/>
    <s v="Returning"/>
    <s v="High Profit"/>
    <x v="4"/>
  </r>
  <r>
    <n v="1904"/>
    <s v="25-01-2025"/>
    <x v="1"/>
    <x v="3"/>
    <x v="2"/>
    <s v="Electronics"/>
    <n v="5"/>
    <n v="171"/>
    <x v="678"/>
    <n v="607"/>
    <x v="610"/>
    <x v="2"/>
    <s v="New"/>
    <s v="High Profit"/>
    <x v="3"/>
  </r>
  <r>
    <n v="1905"/>
    <s v="29-03-2025"/>
    <x v="1"/>
    <x v="0"/>
    <x v="3"/>
    <s v="Electronics"/>
    <n v="1"/>
    <n v="102"/>
    <x v="220"/>
    <n v="81"/>
    <x v="714"/>
    <x v="3"/>
    <s v="Returning"/>
    <s v="Low Profit"/>
    <x v="2"/>
  </r>
  <r>
    <n v="1810"/>
    <s v="19-02-2025"/>
    <x v="3"/>
    <x v="1"/>
    <x v="4"/>
    <s v="Electronics"/>
    <n v="1"/>
    <n v="655"/>
    <x v="797"/>
    <n v="510"/>
    <x v="715"/>
    <x v="0"/>
    <s v="New"/>
    <s v="Low Profit"/>
    <x v="0"/>
  </r>
  <r>
    <n v="1907"/>
    <s v="06-05-2025"/>
    <x v="2"/>
    <x v="0"/>
    <x v="5"/>
    <s v="Accessories"/>
    <n v="7"/>
    <n v="72"/>
    <x v="89"/>
    <n v="388"/>
    <x v="485"/>
    <x v="4"/>
    <s v="Returning"/>
    <s v="Low Profit"/>
    <x v="1"/>
  </r>
  <r>
    <n v="1908"/>
    <s v="26-02-2025"/>
    <x v="1"/>
    <x v="1"/>
    <x v="0"/>
    <s v="Electronics"/>
    <n v="9"/>
    <n v="523"/>
    <x v="798"/>
    <n v="2871"/>
    <x v="716"/>
    <x v="2"/>
    <s v="New"/>
    <s v="High Profit"/>
    <x v="0"/>
  </r>
  <r>
    <n v="1909"/>
    <s v="23-04-2025"/>
    <x v="1"/>
    <x v="0"/>
    <x v="1"/>
    <s v="Accessories"/>
    <n v="2"/>
    <n v="145"/>
    <x v="799"/>
    <n v="174"/>
    <x v="485"/>
    <x v="0"/>
    <s v="Returning"/>
    <s v="Low Profit"/>
    <x v="4"/>
  </r>
  <r>
    <n v="1910"/>
    <s v="13-02-2025"/>
    <x v="1"/>
    <x v="0"/>
    <x v="5"/>
    <s v="Accessories"/>
    <n v="5"/>
    <n v="973"/>
    <x v="800"/>
    <n v="3113"/>
    <x v="717"/>
    <x v="3"/>
    <s v="Returning"/>
    <s v="High Profit"/>
    <x v="0"/>
  </r>
  <r>
    <n v="1911"/>
    <s v="13-03-2025"/>
    <x v="0"/>
    <x v="1"/>
    <x v="2"/>
    <s v="Electronics"/>
    <n v="7"/>
    <n v="744"/>
    <x v="801"/>
    <n v="3958"/>
    <x v="718"/>
    <x v="4"/>
    <s v="New"/>
    <s v="High Profit"/>
    <x v="2"/>
  </r>
  <r>
    <n v="1735"/>
    <s v="04-02-2025"/>
    <x v="3"/>
    <x v="1"/>
    <x v="3"/>
    <s v="Electronics"/>
    <n v="1"/>
    <n v="564"/>
    <x v="732"/>
    <n v="434"/>
    <x v="109"/>
    <x v="2"/>
    <s v="Returning"/>
    <s v="Low Profit"/>
    <x v="0"/>
  </r>
  <r>
    <n v="1913"/>
    <s v="04-01-2025"/>
    <x v="0"/>
    <x v="1"/>
    <x v="2"/>
    <s v="Electronics"/>
    <n v="3"/>
    <n v="884"/>
    <x v="157"/>
    <n v="1591"/>
    <x v="719"/>
    <x v="2"/>
    <s v="Returning"/>
    <s v="High Profit"/>
    <x v="3"/>
  </r>
  <r>
    <n v="1194"/>
    <s v="10-03-2025"/>
    <x v="3"/>
    <x v="2"/>
    <x v="2"/>
    <s v="Electronics"/>
    <n v="9"/>
    <n v="55"/>
    <x v="334"/>
    <n v="366"/>
    <x v="720"/>
    <x v="3"/>
    <s v="New"/>
    <s v="Low Profit"/>
    <x v="2"/>
  </r>
  <r>
    <n v="1451"/>
    <s v="03-01-2025"/>
    <x v="3"/>
    <x v="1"/>
    <x v="0"/>
    <s v="Electronics"/>
    <n v="1"/>
    <n v="351"/>
    <x v="802"/>
    <n v="228"/>
    <x v="721"/>
    <x v="3"/>
    <s v="New"/>
    <s v="Low Profit"/>
    <x v="3"/>
  </r>
  <r>
    <n v="1916"/>
    <s v="08-06-2025"/>
    <x v="1"/>
    <x v="2"/>
    <x v="5"/>
    <s v="Accessories"/>
    <n v="10"/>
    <n v="680"/>
    <x v="803"/>
    <n v="4148"/>
    <x v="722"/>
    <x v="4"/>
    <s v="Returning"/>
    <s v="High Profit"/>
    <x v="5"/>
  </r>
  <r>
    <n v="1917"/>
    <s v="12-05-2025"/>
    <x v="2"/>
    <x v="1"/>
    <x v="1"/>
    <s v="Accessories"/>
    <n v="2"/>
    <n v="365"/>
    <x v="241"/>
    <n v="474"/>
    <x v="263"/>
    <x v="3"/>
    <s v="New"/>
    <s v="High Profit"/>
    <x v="1"/>
  </r>
  <r>
    <n v="1918"/>
    <s v="23-06-2025"/>
    <x v="2"/>
    <x v="0"/>
    <x v="0"/>
    <s v="Electronics"/>
    <n v="7"/>
    <n v="149"/>
    <x v="804"/>
    <n v="834"/>
    <x v="274"/>
    <x v="4"/>
    <s v="Returning"/>
    <s v="High Profit"/>
    <x v="5"/>
  </r>
  <r>
    <n v="1919"/>
    <s v="14-02-2025"/>
    <x v="1"/>
    <x v="2"/>
    <x v="5"/>
    <s v="Accessories"/>
    <n v="3"/>
    <n v="67"/>
    <x v="805"/>
    <n v="126"/>
    <x v="723"/>
    <x v="0"/>
    <s v="Returning"/>
    <s v="Low Profit"/>
    <x v="0"/>
  </r>
  <r>
    <n v="1920"/>
    <s v="11-04-2025"/>
    <x v="3"/>
    <x v="1"/>
    <x v="5"/>
    <s v="Accessories"/>
    <n v="10"/>
    <n v="655"/>
    <x v="806"/>
    <n v="4716"/>
    <x v="724"/>
    <x v="4"/>
    <s v="Returning"/>
    <s v="High Profit"/>
    <x v="4"/>
  </r>
  <r>
    <n v="1921"/>
    <s v="15-04-2025"/>
    <x v="3"/>
    <x v="0"/>
    <x v="1"/>
    <s v="Accessories"/>
    <n v="8"/>
    <n v="562"/>
    <x v="807"/>
    <n v="2922"/>
    <x v="725"/>
    <x v="0"/>
    <s v="New"/>
    <s v="High Profit"/>
    <x v="4"/>
  </r>
  <r>
    <n v="1922"/>
    <s v="09-03-2025"/>
    <x v="2"/>
    <x v="3"/>
    <x v="5"/>
    <s v="Accessories"/>
    <n v="9"/>
    <n v="850"/>
    <x v="808"/>
    <n v="6043"/>
    <x v="726"/>
    <x v="3"/>
    <s v="New"/>
    <s v="High Profit"/>
    <x v="2"/>
  </r>
  <r>
    <n v="1368"/>
    <s v="12-02-2025"/>
    <x v="3"/>
    <x v="2"/>
    <x v="3"/>
    <s v="Electronics"/>
    <n v="1"/>
    <n v="469"/>
    <x v="191"/>
    <n v="347"/>
    <x v="727"/>
    <x v="3"/>
    <s v="Returning"/>
    <s v="Low Profit"/>
    <x v="0"/>
  </r>
  <r>
    <n v="1924"/>
    <s v="06-05-2025"/>
    <x v="3"/>
    <x v="3"/>
    <x v="5"/>
    <s v="Accessories"/>
    <n v="3"/>
    <n v="188"/>
    <x v="732"/>
    <n v="400"/>
    <x v="2"/>
    <x v="2"/>
    <s v="New"/>
    <s v="Low Profit"/>
    <x v="1"/>
  </r>
  <r>
    <n v="1925"/>
    <s v="09-06-2025"/>
    <x v="2"/>
    <x v="0"/>
    <x v="4"/>
    <s v="Electronics"/>
    <n v="3"/>
    <n v="146"/>
    <x v="809"/>
    <n v="280"/>
    <x v="464"/>
    <x v="0"/>
    <s v="Returning"/>
    <s v="Low Profit"/>
    <x v="5"/>
  </r>
  <r>
    <n v="1926"/>
    <s v="03-05-2025"/>
    <x v="1"/>
    <x v="2"/>
    <x v="4"/>
    <s v="Electronics"/>
    <n v="7"/>
    <n v="835"/>
    <x v="810"/>
    <n v="3799"/>
    <x v="728"/>
    <x v="4"/>
    <s v="New"/>
    <s v="High Profit"/>
    <x v="1"/>
  </r>
  <r>
    <n v="1927"/>
    <s v="11-04-2025"/>
    <x v="0"/>
    <x v="0"/>
    <x v="0"/>
    <s v="Electronics"/>
    <n v="10"/>
    <n v="539"/>
    <x v="811"/>
    <n v="4042"/>
    <x v="729"/>
    <x v="1"/>
    <s v="New"/>
    <s v="High Profit"/>
    <x v="4"/>
  </r>
  <r>
    <n v="1675"/>
    <s v="05-02-2025"/>
    <x v="3"/>
    <x v="2"/>
    <x v="3"/>
    <s v="Electronics"/>
    <n v="3"/>
    <n v="177"/>
    <x v="812"/>
    <n v="414"/>
    <x v="730"/>
    <x v="3"/>
    <s v="New"/>
    <s v="Low Profit"/>
    <x v="0"/>
  </r>
  <r>
    <n v="1929"/>
    <s v="15-03-2025"/>
    <x v="0"/>
    <x v="1"/>
    <x v="5"/>
    <s v="Accessories"/>
    <n v="3"/>
    <n v="826"/>
    <x v="813"/>
    <n v="1858"/>
    <x v="361"/>
    <x v="2"/>
    <s v="Returning"/>
    <s v="High Profit"/>
    <x v="2"/>
  </r>
  <r>
    <n v="1930"/>
    <s v="24-04-2025"/>
    <x v="0"/>
    <x v="2"/>
    <x v="4"/>
    <s v="Electronics"/>
    <n v="8"/>
    <n v="414"/>
    <x v="814"/>
    <n v="2219"/>
    <x v="731"/>
    <x v="3"/>
    <s v="Returning"/>
    <s v="High Profit"/>
    <x v="4"/>
  </r>
  <r>
    <n v="1931"/>
    <s v="23-04-2025"/>
    <x v="1"/>
    <x v="0"/>
    <x v="1"/>
    <s v="Accessories"/>
    <n v="10"/>
    <n v="369"/>
    <x v="815"/>
    <n v="2841"/>
    <x v="732"/>
    <x v="2"/>
    <s v="New"/>
    <s v="High Profit"/>
    <x v="4"/>
  </r>
  <r>
    <n v="1932"/>
    <s v="22-01-2025"/>
    <x v="1"/>
    <x v="0"/>
    <x v="4"/>
    <s v="Electronics"/>
    <n v="5"/>
    <n v="128"/>
    <x v="423"/>
    <n v="486"/>
    <x v="733"/>
    <x v="1"/>
    <s v="New"/>
    <s v="Low Profit"/>
    <x v="3"/>
  </r>
  <r>
    <n v="1258"/>
    <s v="03-04-2025"/>
    <x v="3"/>
    <x v="0"/>
    <x v="4"/>
    <s v="Electronics"/>
    <n v="3"/>
    <n v="129"/>
    <x v="816"/>
    <n v="282"/>
    <x v="734"/>
    <x v="2"/>
    <s v="Returning"/>
    <s v="Low Profit"/>
    <x v="4"/>
  </r>
  <r>
    <n v="1934"/>
    <s v="01-03-2025"/>
    <x v="2"/>
    <x v="0"/>
    <x v="2"/>
    <s v="Electronics"/>
    <n v="3"/>
    <n v="136"/>
    <x v="817"/>
    <n v="248"/>
    <x v="129"/>
    <x v="0"/>
    <s v="Returning"/>
    <s v="Low Profit"/>
    <x v="2"/>
  </r>
  <r>
    <n v="1935"/>
    <s v="09-06-2025"/>
    <x v="3"/>
    <x v="3"/>
    <x v="5"/>
    <s v="Accessories"/>
    <n v="6"/>
    <n v="500"/>
    <x v="818"/>
    <n v="2400"/>
    <x v="735"/>
    <x v="2"/>
    <s v="New"/>
    <s v="High Profit"/>
    <x v="5"/>
  </r>
  <r>
    <n v="1936"/>
    <s v="20-04-2025"/>
    <x v="0"/>
    <x v="3"/>
    <x v="4"/>
    <s v="Electronics"/>
    <n v="6"/>
    <n v="258"/>
    <x v="819"/>
    <n v="1114"/>
    <x v="736"/>
    <x v="2"/>
    <s v="Returning"/>
    <s v="High Profit"/>
    <x v="4"/>
  </r>
  <r>
    <n v="1214"/>
    <s v="24-01-2025"/>
    <x v="3"/>
    <x v="3"/>
    <x v="4"/>
    <s v="Electronics"/>
    <n v="5"/>
    <n v="97"/>
    <x v="820"/>
    <n v="388"/>
    <x v="737"/>
    <x v="4"/>
    <s v="Returning"/>
    <s v="Low Profit"/>
    <x v="3"/>
  </r>
  <r>
    <n v="1938"/>
    <s v="19-02-2025"/>
    <x v="1"/>
    <x v="2"/>
    <x v="1"/>
    <s v="Accessories"/>
    <n v="8"/>
    <n v="154"/>
    <x v="821"/>
    <n v="985"/>
    <x v="738"/>
    <x v="2"/>
    <s v="Returning"/>
    <s v="High Profit"/>
    <x v="0"/>
  </r>
  <r>
    <n v="1939"/>
    <s v="13-02-2025"/>
    <x v="1"/>
    <x v="0"/>
    <x v="5"/>
    <s v="Accessories"/>
    <n v="8"/>
    <n v="625"/>
    <x v="822"/>
    <n v="3550"/>
    <x v="739"/>
    <x v="0"/>
    <s v="New"/>
    <s v="High Profit"/>
    <x v="0"/>
  </r>
  <r>
    <n v="1940"/>
    <s v="22-04-2025"/>
    <x v="1"/>
    <x v="2"/>
    <x v="4"/>
    <s v="Electronics"/>
    <n v="8"/>
    <n v="777"/>
    <x v="823"/>
    <n v="3978"/>
    <x v="44"/>
    <x v="2"/>
    <s v="New"/>
    <s v="High Profit"/>
    <x v="4"/>
  </r>
  <r>
    <n v="1941"/>
    <s v="12-05-2025"/>
    <x v="0"/>
    <x v="1"/>
    <x v="4"/>
    <s v="Electronics"/>
    <n v="7"/>
    <n v="92"/>
    <x v="824"/>
    <n v="463"/>
    <x v="414"/>
    <x v="1"/>
    <s v="Returning"/>
    <s v="High Profit"/>
    <x v="1"/>
  </r>
  <r>
    <n v="1942"/>
    <s v="03-05-2025"/>
    <x v="0"/>
    <x v="2"/>
    <x v="2"/>
    <s v="Electronics"/>
    <n v="3"/>
    <n v="552"/>
    <x v="825"/>
    <n v="1043"/>
    <x v="740"/>
    <x v="3"/>
    <s v="New"/>
    <s v="High Profit"/>
    <x v="1"/>
  </r>
  <r>
    <n v="1943"/>
    <s v="04-05-2025"/>
    <x v="1"/>
    <x v="1"/>
    <x v="5"/>
    <s v="Accessories"/>
    <n v="6"/>
    <n v="151"/>
    <x v="826"/>
    <n v="570"/>
    <x v="741"/>
    <x v="1"/>
    <s v="Returning"/>
    <s v="High Profit"/>
    <x v="1"/>
  </r>
  <r>
    <n v="1183"/>
    <s v="15-05-2025"/>
    <x v="3"/>
    <x v="1"/>
    <x v="2"/>
    <s v="Electronics"/>
    <n v="5"/>
    <n v="74"/>
    <x v="827"/>
    <n v="288"/>
    <x v="742"/>
    <x v="4"/>
    <s v="Returning"/>
    <s v="Low Profit"/>
    <x v="1"/>
  </r>
  <r>
    <n v="1945"/>
    <s v="02-02-2025"/>
    <x v="1"/>
    <x v="2"/>
    <x v="5"/>
    <s v="Accessories"/>
    <n v="8"/>
    <n v="485"/>
    <x v="828"/>
    <n v="2522"/>
    <x v="743"/>
    <x v="0"/>
    <s v="Returning"/>
    <s v="High Profit"/>
    <x v="0"/>
  </r>
  <r>
    <n v="1946"/>
    <s v="22-04-2025"/>
    <x v="3"/>
    <x v="0"/>
    <x v="1"/>
    <s v="Accessories"/>
    <n v="3"/>
    <n v="588"/>
    <x v="453"/>
    <n v="1128"/>
    <x v="5"/>
    <x v="2"/>
    <s v="Returning"/>
    <s v="High Profit"/>
    <x v="4"/>
  </r>
  <r>
    <n v="1947"/>
    <s v="20-05-2025"/>
    <x v="1"/>
    <x v="1"/>
    <x v="0"/>
    <s v="Electronics"/>
    <n v="7"/>
    <n v="724"/>
    <x v="829"/>
    <n v="3142"/>
    <x v="744"/>
    <x v="1"/>
    <s v="Returning"/>
    <s v="High Profit"/>
    <x v="1"/>
  </r>
  <r>
    <n v="1948"/>
    <s v="01-02-2025"/>
    <x v="2"/>
    <x v="0"/>
    <x v="5"/>
    <s v="Accessories"/>
    <n v="8"/>
    <n v="902"/>
    <x v="830"/>
    <n v="4762"/>
    <x v="745"/>
    <x v="2"/>
    <s v="Returning"/>
    <s v="High Profit"/>
    <x v="0"/>
  </r>
  <r>
    <n v="1949"/>
    <s v="09-01-2025"/>
    <x v="0"/>
    <x v="1"/>
    <x v="4"/>
    <s v="Electronics"/>
    <n v="2"/>
    <n v="910"/>
    <x v="831"/>
    <n v="1128"/>
    <x v="704"/>
    <x v="0"/>
    <s v="Returning"/>
    <s v="High Profit"/>
    <x v="3"/>
  </r>
  <r>
    <n v="1950"/>
    <s v="02-02-2025"/>
    <x v="0"/>
    <x v="2"/>
    <x v="4"/>
    <s v="Electronics"/>
    <n v="7"/>
    <n v="568"/>
    <x v="525"/>
    <n v="2703"/>
    <x v="746"/>
    <x v="1"/>
    <s v="New"/>
    <s v="High Profit"/>
    <x v="0"/>
  </r>
  <r>
    <n v="1951"/>
    <s v="12-01-2025"/>
    <x v="2"/>
    <x v="0"/>
    <x v="2"/>
    <s v="Electronics"/>
    <n v="9"/>
    <n v="784"/>
    <x v="832"/>
    <n v="4656"/>
    <x v="747"/>
    <x v="4"/>
    <s v="New"/>
    <s v="High Profit"/>
    <x v="3"/>
  </r>
  <r>
    <n v="1952"/>
    <s v="06-03-2025"/>
    <x v="2"/>
    <x v="3"/>
    <x v="2"/>
    <s v="Electronics"/>
    <n v="5"/>
    <n v="550"/>
    <x v="833"/>
    <n v="2172"/>
    <x v="107"/>
    <x v="4"/>
    <s v="New"/>
    <s v="High Profit"/>
    <x v="2"/>
  </r>
  <r>
    <n v="1953"/>
    <s v="03-05-2025"/>
    <x v="2"/>
    <x v="1"/>
    <x v="5"/>
    <s v="Accessories"/>
    <n v="6"/>
    <n v="619"/>
    <x v="834"/>
    <n v="2339"/>
    <x v="748"/>
    <x v="0"/>
    <s v="New"/>
    <s v="High Profit"/>
    <x v="1"/>
  </r>
  <r>
    <n v="1954"/>
    <s v="07-02-2025"/>
    <x v="1"/>
    <x v="2"/>
    <x v="1"/>
    <s v="Accessories"/>
    <n v="9"/>
    <n v="953"/>
    <x v="835"/>
    <n v="5832"/>
    <x v="749"/>
    <x v="1"/>
    <s v="Returning"/>
    <s v="High Profit"/>
    <x v="0"/>
  </r>
  <r>
    <n v="1955"/>
    <s v="10-05-2025"/>
    <x v="3"/>
    <x v="1"/>
    <x v="1"/>
    <s v="Accessories"/>
    <n v="4"/>
    <n v="758"/>
    <x v="836"/>
    <n v="2152"/>
    <x v="750"/>
    <x v="0"/>
    <s v="Returning"/>
    <s v="High Profit"/>
    <x v="1"/>
  </r>
  <r>
    <n v="1956"/>
    <s v="02-01-2025"/>
    <x v="2"/>
    <x v="3"/>
    <x v="0"/>
    <s v="Electronics"/>
    <n v="8"/>
    <n v="647"/>
    <x v="186"/>
    <n v="4089"/>
    <x v="751"/>
    <x v="2"/>
    <s v="Returning"/>
    <s v="High Profit"/>
    <x v="3"/>
  </r>
  <r>
    <n v="1957"/>
    <s v="17-05-2025"/>
    <x v="2"/>
    <x v="1"/>
    <x v="3"/>
    <s v="Electronics"/>
    <n v="7"/>
    <n v="462"/>
    <x v="837"/>
    <n v="2037"/>
    <x v="257"/>
    <x v="3"/>
    <s v="New"/>
    <s v="High Profit"/>
    <x v="1"/>
  </r>
  <r>
    <n v="1958"/>
    <s v="02-06-2025"/>
    <x v="1"/>
    <x v="2"/>
    <x v="0"/>
    <s v="Electronics"/>
    <n v="8"/>
    <n v="130"/>
    <x v="838"/>
    <n v="624"/>
    <x v="752"/>
    <x v="1"/>
    <s v="New"/>
    <s v="High Profit"/>
    <x v="5"/>
  </r>
  <r>
    <n v="1959"/>
    <s v="24-05-2025"/>
    <x v="2"/>
    <x v="1"/>
    <x v="5"/>
    <s v="Accessories"/>
    <n v="9"/>
    <n v="396"/>
    <x v="402"/>
    <n v="2779"/>
    <x v="753"/>
    <x v="4"/>
    <s v="New"/>
    <s v="High Profit"/>
    <x v="1"/>
  </r>
  <r>
    <n v="1797"/>
    <s v="02-05-2025"/>
    <x v="3"/>
    <x v="1"/>
    <x v="2"/>
    <s v="Electronics"/>
    <n v="1"/>
    <n v="222"/>
    <x v="839"/>
    <n v="153"/>
    <x v="754"/>
    <x v="4"/>
    <s v="Returning"/>
    <s v="Low Profit"/>
    <x v="1"/>
  </r>
  <r>
    <n v="1108"/>
    <s v="16-03-2025"/>
    <x v="3"/>
    <x v="0"/>
    <x v="0"/>
    <s v="Electronics"/>
    <n v="2"/>
    <n v="139"/>
    <x v="840"/>
    <n v="214"/>
    <x v="755"/>
    <x v="2"/>
    <s v="New"/>
    <s v="Low Profit"/>
    <x v="2"/>
  </r>
  <r>
    <n v="1962"/>
    <s v="11-05-2025"/>
    <x v="2"/>
    <x v="0"/>
    <x v="2"/>
    <s v="Electronics"/>
    <n v="7"/>
    <n v="834"/>
    <x v="841"/>
    <n v="3794"/>
    <x v="756"/>
    <x v="4"/>
    <s v="Returning"/>
    <s v="High Profit"/>
    <x v="1"/>
  </r>
  <r>
    <n v="1963"/>
    <s v="09-02-2025"/>
    <x v="2"/>
    <x v="2"/>
    <x v="0"/>
    <s v="Electronics"/>
    <n v="2"/>
    <n v="338"/>
    <x v="633"/>
    <n v="540"/>
    <x v="305"/>
    <x v="2"/>
    <s v="New"/>
    <s v="Low Profit"/>
    <x v="0"/>
  </r>
  <r>
    <n v="1964"/>
    <s v="30-01-2025"/>
    <x v="2"/>
    <x v="1"/>
    <x v="2"/>
    <s v="Electronics"/>
    <n v="2"/>
    <n v="866"/>
    <x v="842"/>
    <n v="1264"/>
    <x v="480"/>
    <x v="0"/>
    <s v="Returning"/>
    <s v="High Profit"/>
    <x v="3"/>
  </r>
  <r>
    <n v="1965"/>
    <s v="14-06-2025"/>
    <x v="1"/>
    <x v="1"/>
    <x v="4"/>
    <s v="Electronics"/>
    <n v="8"/>
    <n v="981"/>
    <x v="843"/>
    <n v="4787"/>
    <x v="757"/>
    <x v="3"/>
    <s v="New"/>
    <s v="High Profit"/>
    <x v="5"/>
  </r>
  <r>
    <n v="1966"/>
    <s v="11-04-2025"/>
    <x v="0"/>
    <x v="1"/>
    <x v="3"/>
    <s v="Electronics"/>
    <n v="5"/>
    <n v="760"/>
    <x v="246"/>
    <n v="2622"/>
    <x v="758"/>
    <x v="3"/>
    <s v="New"/>
    <s v="High Profit"/>
    <x v="4"/>
  </r>
  <r>
    <n v="1967"/>
    <s v="05-04-2025"/>
    <x v="2"/>
    <x v="2"/>
    <x v="1"/>
    <s v="Accessories"/>
    <n v="5"/>
    <n v="260"/>
    <x v="844"/>
    <n v="1027"/>
    <x v="759"/>
    <x v="1"/>
    <s v="Returning"/>
    <s v="High Profit"/>
    <x v="4"/>
  </r>
  <r>
    <n v="1968"/>
    <s v="28-05-2025"/>
    <x v="0"/>
    <x v="3"/>
    <x v="0"/>
    <s v="Electronics"/>
    <n v="6"/>
    <n v="402"/>
    <x v="845"/>
    <n v="1471"/>
    <x v="510"/>
    <x v="2"/>
    <s v="New"/>
    <s v="High Profit"/>
    <x v="1"/>
  </r>
  <r>
    <n v="1969"/>
    <s v="02-03-2025"/>
    <x v="1"/>
    <x v="3"/>
    <x v="5"/>
    <s v="Accessories"/>
    <n v="6"/>
    <n v="442"/>
    <x v="157"/>
    <n v="1962"/>
    <x v="437"/>
    <x v="3"/>
    <s v="Returning"/>
    <s v="High Profit"/>
    <x v="2"/>
  </r>
  <r>
    <n v="1970"/>
    <s v="26-03-2025"/>
    <x v="1"/>
    <x v="1"/>
    <x v="3"/>
    <s v="Electronics"/>
    <n v="9"/>
    <n v="749"/>
    <x v="846"/>
    <n v="4044"/>
    <x v="760"/>
    <x v="0"/>
    <s v="New"/>
    <s v="High Profit"/>
    <x v="2"/>
  </r>
  <r>
    <n v="1971"/>
    <s v="16-01-2025"/>
    <x v="3"/>
    <x v="0"/>
    <x v="1"/>
    <s v="Accessories"/>
    <n v="8"/>
    <n v="906"/>
    <x v="847"/>
    <n v="5580"/>
    <x v="761"/>
    <x v="2"/>
    <s v="Returning"/>
    <s v="High Profit"/>
    <x v="3"/>
  </r>
  <r>
    <n v="1972"/>
    <s v="14-05-2025"/>
    <x v="2"/>
    <x v="3"/>
    <x v="2"/>
    <s v="Electronics"/>
    <n v="6"/>
    <n v="765"/>
    <x v="848"/>
    <n v="3396"/>
    <x v="239"/>
    <x v="2"/>
    <s v="Returning"/>
    <s v="High Profit"/>
    <x v="1"/>
  </r>
  <r>
    <n v="1973"/>
    <s v="03-01-2025"/>
    <x v="2"/>
    <x v="0"/>
    <x v="5"/>
    <s v="Accessories"/>
    <n v="6"/>
    <n v="702"/>
    <x v="849"/>
    <n v="2527"/>
    <x v="762"/>
    <x v="3"/>
    <s v="Returning"/>
    <s v="High Profit"/>
    <x v="3"/>
  </r>
  <r>
    <n v="1974"/>
    <s v="12-04-2025"/>
    <x v="2"/>
    <x v="0"/>
    <x v="1"/>
    <s v="Accessories"/>
    <n v="8"/>
    <n v="682"/>
    <x v="850"/>
    <n v="3273"/>
    <x v="763"/>
    <x v="4"/>
    <s v="New"/>
    <s v="High Profit"/>
    <x v="4"/>
  </r>
  <r>
    <n v="1975"/>
    <s v="03-02-2025"/>
    <x v="1"/>
    <x v="1"/>
    <x v="2"/>
    <s v="Electronics"/>
    <n v="1"/>
    <n v="752"/>
    <x v="264"/>
    <n v="601"/>
    <x v="306"/>
    <x v="4"/>
    <s v="Returning"/>
    <s v="Low Profit"/>
    <x v="0"/>
  </r>
  <r>
    <n v="1976"/>
    <s v="13-04-2025"/>
    <x v="0"/>
    <x v="2"/>
    <x v="2"/>
    <s v="Electronics"/>
    <n v="6"/>
    <n v="366"/>
    <x v="851"/>
    <n v="1449"/>
    <x v="764"/>
    <x v="1"/>
    <s v="New"/>
    <s v="High Profit"/>
    <x v="4"/>
  </r>
  <r>
    <n v="1977"/>
    <s v="27-01-2025"/>
    <x v="0"/>
    <x v="0"/>
    <x v="0"/>
    <s v="Electronics"/>
    <n v="1"/>
    <n v="333"/>
    <x v="852"/>
    <n v="206"/>
    <x v="765"/>
    <x v="0"/>
    <s v="Returning"/>
    <s v="Low Profit"/>
    <x v="3"/>
  </r>
  <r>
    <n v="1978"/>
    <s v="07-06-2025"/>
    <x v="0"/>
    <x v="2"/>
    <x v="4"/>
    <s v="Electronics"/>
    <n v="5"/>
    <n v="130"/>
    <x v="367"/>
    <n v="461"/>
    <x v="359"/>
    <x v="3"/>
    <s v="Returning"/>
    <s v="High Profit"/>
    <x v="5"/>
  </r>
  <r>
    <n v="1979"/>
    <s v="22-03-2025"/>
    <x v="2"/>
    <x v="0"/>
    <x v="3"/>
    <s v="Electronics"/>
    <n v="2"/>
    <n v="230"/>
    <x v="853"/>
    <n v="340"/>
    <x v="307"/>
    <x v="1"/>
    <s v="New"/>
    <s v="Low Profit"/>
    <x v="2"/>
  </r>
  <r>
    <n v="1980"/>
    <s v="25-02-2025"/>
    <x v="2"/>
    <x v="3"/>
    <x v="2"/>
    <s v="Electronics"/>
    <n v="2"/>
    <n v="335"/>
    <x v="854"/>
    <n v="448"/>
    <x v="766"/>
    <x v="1"/>
    <s v="Returning"/>
    <s v="High Profit"/>
    <x v="0"/>
  </r>
  <r>
    <n v="1981"/>
    <s v="17-06-2025"/>
    <x v="0"/>
    <x v="2"/>
    <x v="3"/>
    <s v="Electronics"/>
    <n v="2"/>
    <n v="653"/>
    <x v="855"/>
    <n v="940"/>
    <x v="594"/>
    <x v="0"/>
    <s v="Returning"/>
    <s v="High Profit"/>
    <x v="5"/>
  </r>
  <r>
    <n v="1982"/>
    <s v="08-05-2025"/>
    <x v="1"/>
    <x v="1"/>
    <x v="3"/>
    <s v="Electronics"/>
    <n v="2"/>
    <n v="735"/>
    <x v="856"/>
    <n v="1043"/>
    <x v="528"/>
    <x v="0"/>
    <s v="New"/>
    <s v="High Profit"/>
    <x v="1"/>
  </r>
  <r>
    <n v="1983"/>
    <s v="19-06-2025"/>
    <x v="0"/>
    <x v="1"/>
    <x v="5"/>
    <s v="Accessories"/>
    <n v="6"/>
    <n v="444"/>
    <x v="857"/>
    <n v="1998"/>
    <x v="767"/>
    <x v="4"/>
    <s v="New"/>
    <s v="High Profit"/>
    <x v="5"/>
  </r>
  <r>
    <n v="1984"/>
    <s v="24-02-2025"/>
    <x v="0"/>
    <x v="2"/>
    <x v="5"/>
    <s v="Accessories"/>
    <n v="7"/>
    <n v="894"/>
    <x v="858"/>
    <n v="4630"/>
    <x v="297"/>
    <x v="1"/>
    <s v="New"/>
    <s v="High Profit"/>
    <x v="0"/>
  </r>
  <r>
    <n v="1985"/>
    <s v="13-04-2025"/>
    <x v="1"/>
    <x v="3"/>
    <x v="1"/>
    <s v="Accessories"/>
    <n v="9"/>
    <n v="802"/>
    <x v="859"/>
    <n v="4691"/>
    <x v="768"/>
    <x v="1"/>
    <s v="New"/>
    <s v="High Profit"/>
    <x v="4"/>
  </r>
  <r>
    <n v="1986"/>
    <s v="26-02-2025"/>
    <x v="2"/>
    <x v="3"/>
    <x v="1"/>
    <s v="Accessories"/>
    <n v="3"/>
    <n v="882"/>
    <x v="128"/>
    <n v="1984"/>
    <x v="769"/>
    <x v="0"/>
    <s v="New"/>
    <s v="High Profit"/>
    <x v="0"/>
  </r>
  <r>
    <n v="1026"/>
    <s v="20-01-2025"/>
    <x v="3"/>
    <x v="0"/>
    <x v="4"/>
    <s v="Electronics"/>
    <n v="3"/>
    <n v="65"/>
    <x v="860"/>
    <n v="136"/>
    <x v="770"/>
    <x v="1"/>
    <s v="New"/>
    <s v="Low Profit"/>
    <x v="3"/>
  </r>
  <r>
    <n v="1473"/>
    <s v="10-04-2025"/>
    <x v="3"/>
    <x v="0"/>
    <x v="0"/>
    <s v="Electronics"/>
    <n v="3"/>
    <n v="79"/>
    <x v="861"/>
    <n v="182"/>
    <x v="482"/>
    <x v="1"/>
    <s v="Returning"/>
    <s v="Low Profit"/>
    <x v="4"/>
  </r>
  <r>
    <n v="1989"/>
    <s v="28-03-2025"/>
    <x v="2"/>
    <x v="1"/>
    <x v="0"/>
    <s v="Electronics"/>
    <n v="5"/>
    <n v="611"/>
    <x v="862"/>
    <n v="2321"/>
    <x v="771"/>
    <x v="1"/>
    <s v="Returning"/>
    <s v="High Profit"/>
    <x v="2"/>
  </r>
  <r>
    <n v="1990"/>
    <s v="20-02-2025"/>
    <x v="0"/>
    <x v="3"/>
    <x v="5"/>
    <s v="Accessories"/>
    <n v="9"/>
    <n v="851"/>
    <x v="863"/>
    <n v="4595"/>
    <x v="772"/>
    <x v="2"/>
    <s v="New"/>
    <s v="High Profit"/>
    <x v="0"/>
  </r>
  <r>
    <n v="1991"/>
    <s v="26-01-2025"/>
    <x v="0"/>
    <x v="3"/>
    <x v="4"/>
    <s v="Electronics"/>
    <n v="10"/>
    <n v="437"/>
    <x v="864"/>
    <n v="3277"/>
    <x v="731"/>
    <x v="2"/>
    <s v="Returning"/>
    <s v="High Profit"/>
    <x v="3"/>
  </r>
  <r>
    <n v="1992"/>
    <s v="07-03-2025"/>
    <x v="2"/>
    <x v="0"/>
    <x v="1"/>
    <s v="Accessories"/>
    <n v="8"/>
    <n v="982"/>
    <x v="865"/>
    <n v="4713"/>
    <x v="773"/>
    <x v="4"/>
    <s v="Returning"/>
    <s v="High Profit"/>
    <x v="2"/>
  </r>
  <r>
    <n v="1123"/>
    <s v="26-01-2025"/>
    <x v="3"/>
    <x v="1"/>
    <x v="0"/>
    <s v="Electronics"/>
    <n v="1"/>
    <n v="137"/>
    <x v="179"/>
    <n v="89"/>
    <x v="774"/>
    <x v="1"/>
    <s v="New"/>
    <s v="Low Profit"/>
    <x v="3"/>
  </r>
  <r>
    <n v="1273"/>
    <s v="22-05-2025"/>
    <x v="3"/>
    <x v="1"/>
    <x v="2"/>
    <s v="Electronics"/>
    <n v="1"/>
    <n v="95"/>
    <x v="866"/>
    <n v="59"/>
    <x v="775"/>
    <x v="0"/>
    <s v="New"/>
    <s v="Low Profit"/>
    <x v="1"/>
  </r>
  <r>
    <n v="1995"/>
    <s v="04-03-2025"/>
    <x v="2"/>
    <x v="3"/>
    <x v="0"/>
    <s v="Electronics"/>
    <n v="3"/>
    <n v="51"/>
    <x v="867"/>
    <n v="108"/>
    <x v="340"/>
    <x v="4"/>
    <s v="Returning"/>
    <s v="Low Profit"/>
    <x v="2"/>
  </r>
  <r>
    <n v="1996"/>
    <s v="09-03-2025"/>
    <x v="0"/>
    <x v="0"/>
    <x v="1"/>
    <s v="Accessories"/>
    <n v="1"/>
    <n v="582"/>
    <x v="733"/>
    <n v="366"/>
    <x v="776"/>
    <x v="2"/>
    <s v="New"/>
    <s v="High Profit"/>
    <x v="2"/>
  </r>
  <r>
    <n v="1997"/>
    <s v="24-04-2025"/>
    <x v="2"/>
    <x v="3"/>
    <x v="3"/>
    <s v="Electronics"/>
    <n v="4"/>
    <n v="926"/>
    <x v="868"/>
    <n v="2296"/>
    <x v="777"/>
    <x v="1"/>
    <s v="New"/>
    <s v="High Profit"/>
    <x v="4"/>
  </r>
  <r>
    <n v="1998"/>
    <s v="14-01-2025"/>
    <x v="2"/>
    <x v="2"/>
    <x v="5"/>
    <s v="Accessories"/>
    <n v="2"/>
    <n v="936"/>
    <x v="869"/>
    <n v="1160"/>
    <x v="778"/>
    <x v="1"/>
    <s v="New"/>
    <s v="High Profit"/>
    <x v="3"/>
  </r>
  <r>
    <n v="1441"/>
    <s v="27-01-2025"/>
    <x v="3"/>
    <x v="3"/>
    <x v="0"/>
    <s v="Electronics"/>
    <n v="1"/>
    <n v="75"/>
    <x v="870"/>
    <n v="47"/>
    <x v="175"/>
    <x v="1"/>
    <s v="New"/>
    <s v="Low Profit"/>
    <x v="3"/>
  </r>
  <r>
    <n v="1608"/>
    <s v="04-06-2025"/>
    <x v="3"/>
    <x v="3"/>
    <x v="0"/>
    <s v="Electronics"/>
    <n v="1"/>
    <n v="85"/>
    <x v="871"/>
    <n v="59"/>
    <x v="779"/>
    <x v="2"/>
    <s v="Returning"/>
    <s v="Low Profit"/>
    <x v="5"/>
  </r>
  <r>
    <m/>
    <m/>
    <x v="4"/>
    <x v="4"/>
    <x v="6"/>
    <m/>
    <m/>
    <m/>
    <x v="872"/>
    <m/>
    <x v="780"/>
    <x v="5"/>
    <m/>
    <s v="Low Profit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CF468-2A86-4BD3-8CB7-84DE0548B98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h="1" x="5"/>
        <item t="default"/>
      </items>
    </pivotField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11" baseItem="0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BC877-A899-41AE-B950-C5C87B243C8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15"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164"/>
    <dataField name="Sum of Profit" fld="10" baseField="0" baseItem="0" numFmtId="164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CABAF-C9B8-4F80-9EC9-EE4BE86219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7">
        <item x="3"/>
        <item x="0"/>
        <item x="2"/>
        <item x="4"/>
        <item x="1"/>
        <item x="5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8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7C7AB-EE0F-4592-9DF7-24D894CF7F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15">
    <pivotField showAll="0"/>
    <pivotField showAll="0"/>
    <pivotField showAll="0"/>
    <pivotField showAll="0"/>
    <pivotField axis="axisRow" showAll="0">
      <items count="8">
        <item x="1"/>
        <item x="4"/>
        <item x="2"/>
        <item x="5"/>
        <item x="3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dataField="1" showAll="0">
      <items count="782">
        <item x="714"/>
        <item x="779"/>
        <item x="354"/>
        <item x="175"/>
        <item x="217"/>
        <item x="775"/>
        <item x="639"/>
        <item x="48"/>
        <item x="346"/>
        <item x="340"/>
        <item x="774"/>
        <item x="633"/>
        <item x="265"/>
        <item x="411"/>
        <item x="482"/>
        <item x="770"/>
        <item x="568"/>
        <item x="79"/>
        <item x="755"/>
        <item x="286"/>
        <item x="754"/>
        <item x="723"/>
        <item x="210"/>
        <item x="393"/>
        <item x="648"/>
        <item x="742"/>
        <item x="696"/>
        <item x="629"/>
        <item x="365"/>
        <item x="450"/>
        <item x="690"/>
        <item x="671"/>
        <item x="244"/>
        <item x="737"/>
        <item x="491"/>
        <item x="110"/>
        <item x="344"/>
        <item x="734"/>
        <item x="136"/>
        <item x="395"/>
        <item x="347"/>
        <item x="685"/>
        <item x="485"/>
        <item x="730"/>
        <item x="76"/>
        <item x="307"/>
        <item x="727"/>
        <item x="721"/>
        <item x="434"/>
        <item x="351"/>
        <item x="765"/>
        <item x="507"/>
        <item x="720"/>
        <item x="109"/>
        <item x="163"/>
        <item x="329"/>
        <item x="309"/>
        <item x="557"/>
        <item x="305"/>
        <item x="188"/>
        <item x="78"/>
        <item x="206"/>
        <item x="32"/>
        <item x="269"/>
        <item x="715"/>
        <item x="226"/>
        <item x="83"/>
        <item x="251"/>
        <item x="306"/>
        <item x="523"/>
        <item x="733"/>
        <item x="54"/>
        <item x="542"/>
        <item x="464"/>
        <item x="129"/>
        <item x="240"/>
        <item x="131"/>
        <item x="2"/>
        <item x="155"/>
        <item x="98"/>
        <item x="691"/>
        <item x="120"/>
        <item x="156"/>
        <item x="89"/>
        <item x="300"/>
        <item x="667"/>
        <item x="414"/>
        <item x="415"/>
        <item x="327"/>
        <item x="666"/>
        <item x="575"/>
        <item x="587"/>
        <item x="359"/>
        <item x="665"/>
        <item x="80"/>
        <item x="658"/>
        <item x="432"/>
        <item x="655"/>
        <item x="571"/>
        <item x="461"/>
        <item x="653"/>
        <item x="279"/>
        <item x="326"/>
        <item x="274"/>
        <item x="460"/>
        <item x="511"/>
        <item x="776"/>
        <item x="601"/>
        <item x="651"/>
        <item x="223"/>
        <item x="766"/>
        <item x="205"/>
        <item x="566"/>
        <item x="264"/>
        <item x="184"/>
        <item x="369"/>
        <item x="453"/>
        <item x="167"/>
        <item x="514"/>
        <item x="214"/>
        <item x="15"/>
        <item x="343"/>
        <item x="142"/>
        <item x="581"/>
        <item x="672"/>
        <item x="406"/>
        <item x="738"/>
        <item x="610"/>
        <item x="134"/>
        <item x="373"/>
        <item x="636"/>
        <item x="263"/>
        <item x="233"/>
        <item x="641"/>
        <item x="292"/>
        <item x="315"/>
        <item x="0"/>
        <item x="14"/>
        <item x="58"/>
        <item x="52"/>
        <item x="538"/>
        <item x="38"/>
        <item x="154"/>
        <item x="412"/>
        <item x="234"/>
        <item x="759"/>
        <item x="121"/>
        <item x="358"/>
        <item x="467"/>
        <item x="409"/>
        <item x="583"/>
        <item x="100"/>
        <item x="481"/>
        <item x="284"/>
        <item x="215"/>
        <item x="551"/>
        <item x="617"/>
        <item x="187"/>
        <item x="616"/>
        <item x="652"/>
        <item x="674"/>
        <item x="111"/>
        <item x="615"/>
        <item x="535"/>
        <item x="218"/>
        <item x="499"/>
        <item x="194"/>
        <item x="61"/>
        <item x="383"/>
        <item x="433"/>
        <item x="445"/>
        <item x="367"/>
        <item x="606"/>
        <item x="17"/>
        <item x="422"/>
        <item x="158"/>
        <item x="301"/>
        <item x="1"/>
        <item x="211"/>
        <item x="530"/>
        <item x="208"/>
        <item x="702"/>
        <item x="502"/>
        <item x="580"/>
        <item x="741"/>
        <item x="605"/>
        <item x="173"/>
        <item x="476"/>
        <item x="35"/>
        <item x="556"/>
        <item x="92"/>
        <item x="661"/>
        <item x="379"/>
        <item x="254"/>
        <item x="105"/>
        <item x="280"/>
        <item x="417"/>
        <item x="402"/>
        <item x="416"/>
        <item x="596"/>
        <item x="594"/>
        <item x="389"/>
        <item x="573"/>
        <item x="600"/>
        <item x="148"/>
        <item x="525"/>
        <item x="190"/>
        <item x="586"/>
        <item x="440"/>
        <item x="271"/>
        <item x="19"/>
        <item x="262"/>
        <item x="113"/>
        <item x="454"/>
        <item x="577"/>
        <item x="501"/>
        <item x="711"/>
        <item x="569"/>
        <item x="72"/>
        <item x="532"/>
        <item x="449"/>
        <item x="553"/>
        <item x="22"/>
        <item x="310"/>
        <item x="549"/>
        <item x="645"/>
        <item x="752"/>
        <item x="584"/>
        <item x="112"/>
        <item x="647"/>
        <item x="705"/>
        <item x="548"/>
        <item x="446"/>
        <item x="539"/>
        <item x="677"/>
        <item x="13"/>
        <item x="528"/>
        <item x="39"/>
        <item x="338"/>
        <item x="509"/>
        <item x="736"/>
        <item x="45"/>
        <item x="303"/>
        <item x="527"/>
        <item x="588"/>
        <item x="197"/>
        <item x="524"/>
        <item x="304"/>
        <item x="28"/>
        <item x="388"/>
        <item x="160"/>
        <item x="521"/>
        <item x="296"/>
        <item x="533"/>
        <item x="127"/>
        <item x="547"/>
        <item x="480"/>
        <item x="4"/>
        <item x="474"/>
        <item x="516"/>
        <item x="224"/>
        <item x="570"/>
        <item x="75"/>
        <item x="504"/>
        <item x="403"/>
        <item x="62"/>
        <item x="328"/>
        <item x="387"/>
        <item x="498"/>
        <item x="500"/>
        <item x="463"/>
        <item x="181"/>
        <item x="193"/>
        <item x="512"/>
        <item x="494"/>
        <item x="192"/>
        <item x="313"/>
        <item x="562"/>
        <item x="360"/>
        <item x="559"/>
        <item x="430"/>
        <item x="317"/>
        <item x="478"/>
        <item x="425"/>
        <item x="607"/>
        <item x="146"/>
        <item x="681"/>
        <item x="141"/>
        <item x="420"/>
        <item x="488"/>
        <item x="318"/>
        <item x="159"/>
        <item x="29"/>
        <item x="362"/>
        <item x="621"/>
        <item x="93"/>
        <item x="700"/>
        <item x="649"/>
        <item x="41"/>
        <item x="59"/>
        <item x="493"/>
        <item x="37"/>
        <item x="567"/>
        <item x="195"/>
        <item x="578"/>
        <item x="176"/>
        <item x="277"/>
        <item x="107"/>
        <item x="157"/>
        <item x="97"/>
        <item x="487"/>
        <item x="483"/>
        <item x="710"/>
        <item x="404"/>
        <item x="536"/>
        <item x="468"/>
        <item x="735"/>
        <item x="484"/>
        <item x="673"/>
        <item x="42"/>
        <item x="475"/>
        <item x="740"/>
        <item x="368"/>
        <item x="219"/>
        <item x="361"/>
        <item x="140"/>
        <item x="12"/>
        <item x="503"/>
        <item x="150"/>
        <item x="473"/>
        <item x="638"/>
        <item x="5"/>
        <item x="352"/>
        <item x="455"/>
        <item x="452"/>
        <item x="708"/>
        <item x="143"/>
        <item x="451"/>
        <item x="544"/>
        <item x="209"/>
        <item x="436"/>
        <item x="431"/>
        <item x="333"/>
        <item x="555"/>
        <item x="769"/>
        <item x="232"/>
        <item x="427"/>
        <item x="767"/>
        <item x="424"/>
        <item x="519"/>
        <item x="392"/>
        <item x="272"/>
        <item x="207"/>
        <item x="355"/>
        <item x="684"/>
        <item x="418"/>
        <item x="701"/>
        <item x="477"/>
        <item x="520"/>
        <item x="437"/>
        <item x="704"/>
        <item x="225"/>
        <item x="441"/>
        <item x="614"/>
        <item x="378"/>
        <item x="709"/>
        <item x="256"/>
        <item x="408"/>
        <item x="314"/>
        <item x="778"/>
        <item x="237"/>
        <item x="196"/>
        <item x="103"/>
        <item x="405"/>
        <item x="324"/>
        <item x="428"/>
        <item x="384"/>
        <item x="18"/>
        <item x="678"/>
        <item x="771"/>
        <item x="151"/>
        <item x="764"/>
        <item x="399"/>
        <item x="398"/>
        <item x="496"/>
        <item x="591"/>
        <item x="697"/>
        <item x="242"/>
        <item x="390"/>
        <item x="564"/>
        <item x="602"/>
        <item x="320"/>
        <item x="589"/>
        <item x="377"/>
        <item x="204"/>
        <item x="541"/>
        <item x="479"/>
        <item x="663"/>
        <item x="531"/>
        <item x="604"/>
        <item x="753"/>
        <item x="216"/>
        <item x="281"/>
        <item x="222"/>
        <item x="534"/>
        <item x="125"/>
        <item x="400"/>
        <item x="364"/>
        <item x="84"/>
        <item x="331"/>
        <item x="349"/>
        <item x="316"/>
        <item x="133"/>
        <item x="561"/>
        <item x="490"/>
        <item x="191"/>
        <item x="492"/>
        <item x="332"/>
        <item x="654"/>
        <item x="707"/>
        <item x="126"/>
        <item x="732"/>
        <item x="325"/>
        <item x="372"/>
        <item x="609"/>
        <item x="81"/>
        <item x="401"/>
        <item x="319"/>
        <item x="632"/>
        <item x="592"/>
        <item x="750"/>
        <item x="688"/>
        <item x="489"/>
        <item x="299"/>
        <item x="363"/>
        <item x="47"/>
        <item x="118"/>
        <item x="631"/>
        <item x="252"/>
        <item x="114"/>
        <item x="298"/>
        <item x="311"/>
        <item x="178"/>
        <item x="456"/>
        <item x="357"/>
        <item x="6"/>
        <item x="515"/>
        <item x="230"/>
        <item x="350"/>
        <item x="291"/>
        <item x="282"/>
        <item x="693"/>
        <item x="276"/>
        <item x="510"/>
        <item x="275"/>
        <item x="646"/>
        <item x="506"/>
        <item x="682"/>
        <item x="391"/>
        <item x="546"/>
        <item x="43"/>
        <item x="273"/>
        <item x="135"/>
        <item x="706"/>
        <item x="386"/>
        <item x="518"/>
        <item x="165"/>
        <item x="613"/>
        <item x="82"/>
        <item x="123"/>
        <item x="413"/>
        <item x="339"/>
        <item x="267"/>
        <item x="139"/>
        <item x="90"/>
        <item x="703"/>
        <item x="410"/>
        <item x="459"/>
        <item x="370"/>
        <item x="321"/>
        <item x="628"/>
        <item x="643"/>
        <item x="611"/>
        <item x="505"/>
        <item x="266"/>
        <item x="260"/>
        <item x="130"/>
        <item x="312"/>
        <item x="448"/>
        <item x="435"/>
        <item x="302"/>
        <item x="182"/>
        <item x="250"/>
        <item x="540"/>
        <item x="26"/>
        <item x="719"/>
        <item x="255"/>
        <item x="162"/>
        <item x="396"/>
        <item x="447"/>
        <item x="751"/>
        <item x="618"/>
        <item x="426"/>
        <item x="731"/>
        <item x="77"/>
        <item x="469"/>
        <item x="245"/>
        <item x="212"/>
        <item x="330"/>
        <item x="371"/>
        <item x="308"/>
        <item x="457"/>
        <item x="397"/>
        <item x="634"/>
        <item x="622"/>
        <item x="650"/>
        <item x="337"/>
        <item x="758"/>
        <item x="200"/>
        <item x="202"/>
        <item x="470"/>
        <item x="50"/>
        <item x="554"/>
        <item x="239"/>
        <item x="257"/>
        <item x="582"/>
        <item x="537"/>
        <item x="101"/>
        <item x="659"/>
        <item x="231"/>
        <item x="30"/>
        <item x="229"/>
        <item x="624"/>
        <item x="513"/>
        <item x="227"/>
        <item x="95"/>
        <item x="718"/>
        <item x="438"/>
        <item x="243"/>
        <item x="220"/>
        <item x="686"/>
        <item x="699"/>
        <item x="253"/>
        <item x="660"/>
        <item x="203"/>
        <item x="746"/>
        <item x="179"/>
        <item x="529"/>
        <item x="366"/>
        <item x="73"/>
        <item x="46"/>
        <item x="322"/>
        <item x="295"/>
        <item x="64"/>
        <item x="374"/>
        <item x="289"/>
        <item x="3"/>
        <item x="486"/>
        <item x="472"/>
        <item x="201"/>
        <item x="627"/>
        <item x="599"/>
        <item x="228"/>
        <item x="198"/>
        <item x="87"/>
        <item x="713"/>
        <item x="662"/>
        <item x="630"/>
        <item x="729"/>
        <item x="612"/>
        <item x="288"/>
        <item x="743"/>
        <item x="442"/>
        <item x="439"/>
        <item x="169"/>
        <item x="748"/>
        <item x="10"/>
        <item x="695"/>
        <item x="249"/>
        <item x="657"/>
        <item x="637"/>
        <item x="85"/>
        <item x="603"/>
        <item x="777"/>
        <item x="576"/>
        <item x="96"/>
        <item x="268"/>
        <item x="656"/>
        <item x="692"/>
        <item x="689"/>
        <item x="471"/>
        <item x="294"/>
        <item x="508"/>
        <item x="138"/>
        <item x="739"/>
        <item x="590"/>
        <item x="261"/>
        <item x="670"/>
        <item x="598"/>
        <item x="185"/>
        <item x="585"/>
        <item x="526"/>
        <item x="60"/>
        <item x="183"/>
        <item x="174"/>
        <item x="161"/>
        <item x="116"/>
        <item x="375"/>
        <item x="124"/>
        <item x="676"/>
        <item x="593"/>
        <item x="168"/>
        <item x="334"/>
        <item x="429"/>
        <item x="376"/>
        <item x="443"/>
        <item x="40"/>
        <item x="683"/>
        <item x="238"/>
        <item x="572"/>
        <item x="444"/>
        <item x="108"/>
        <item x="725"/>
        <item x="164"/>
        <item x="342"/>
        <item x="153"/>
        <item x="236"/>
        <item x="152"/>
        <item x="166"/>
        <item x="668"/>
        <item x="726"/>
        <item x="574"/>
        <item x="149"/>
        <item x="102"/>
        <item x="297"/>
        <item x="145"/>
        <item x="132"/>
        <item x="635"/>
        <item x="8"/>
        <item x="341"/>
        <item x="761"/>
        <item x="495"/>
        <item x="122"/>
        <item x="597"/>
        <item x="119"/>
        <item x="558"/>
        <item x="762"/>
        <item x="623"/>
        <item x="117"/>
        <item x="345"/>
        <item x="115"/>
        <item x="259"/>
        <item x="285"/>
        <item x="287"/>
        <item x="560"/>
        <item x="27"/>
        <item x="278"/>
        <item x="717"/>
        <item x="70"/>
        <item x="550"/>
        <item x="644"/>
        <item x="106"/>
        <item x="712"/>
        <item x="104"/>
        <item x="675"/>
        <item x="543"/>
        <item x="348"/>
        <item x="522"/>
        <item x="687"/>
        <item x="69"/>
        <item x="88"/>
        <item x="724"/>
        <item x="716"/>
        <item x="177"/>
        <item x="462"/>
        <item x="99"/>
        <item x="407"/>
        <item x="67"/>
        <item x="680"/>
        <item x="381"/>
        <item x="86"/>
        <item x="744"/>
        <item x="147"/>
        <item x="71"/>
        <item x="565"/>
        <item x="172"/>
        <item x="65"/>
        <item x="74"/>
        <item x="31"/>
        <item x="68"/>
        <item x="221"/>
        <item x="336"/>
        <item x="421"/>
        <item x="290"/>
        <item x="34"/>
        <item x="756"/>
        <item x="728"/>
        <item x="241"/>
        <item x="66"/>
        <item x="57"/>
        <item x="698"/>
        <item x="335"/>
        <item x="694"/>
        <item x="679"/>
        <item x="248"/>
        <item x="56"/>
        <item x="55"/>
        <item x="579"/>
        <item x="235"/>
        <item x="563"/>
        <item x="258"/>
        <item x="664"/>
        <item x="517"/>
        <item x="394"/>
        <item x="385"/>
        <item x="763"/>
        <item x="49"/>
        <item x="619"/>
        <item x="458"/>
        <item x="51"/>
        <item x="247"/>
        <item x="44"/>
        <item x="36"/>
        <item x="91"/>
        <item x="283"/>
        <item x="199"/>
        <item x="419"/>
        <item x="63"/>
        <item x="625"/>
        <item x="747"/>
        <item x="33"/>
        <item x="608"/>
        <item x="640"/>
        <item x="745"/>
        <item x="24"/>
        <item x="465"/>
        <item x="144"/>
        <item x="768"/>
        <item x="595"/>
        <item x="180"/>
        <item x="323"/>
        <item x="137"/>
        <item x="626"/>
        <item x="213"/>
        <item x="722"/>
        <item x="25"/>
        <item x="760"/>
        <item x="293"/>
        <item x="423"/>
        <item x="353"/>
        <item x="749"/>
        <item x="620"/>
        <item x="21"/>
        <item x="380"/>
        <item x="545"/>
        <item x="94"/>
        <item x="171"/>
        <item x="246"/>
        <item x="20"/>
        <item x="466"/>
        <item x="16"/>
        <item x="757"/>
        <item x="772"/>
        <item x="356"/>
        <item x="23"/>
        <item x="669"/>
        <item x="773"/>
        <item x="128"/>
        <item x="11"/>
        <item x="186"/>
        <item x="170"/>
        <item x="497"/>
        <item x="270"/>
        <item x="189"/>
        <item x="9"/>
        <item x="642"/>
        <item x="53"/>
        <item x="552"/>
        <item x="7"/>
        <item x="382"/>
        <item x="78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0" baseField="4" baseItem="4" numFmtId="164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EB0C1-3DCE-4CE4-BAD1-14008BC963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5"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874">
        <item x="870"/>
        <item x="871"/>
        <item x="866"/>
        <item x="713"/>
        <item x="220"/>
        <item x="563"/>
        <item x="363"/>
        <item x="179"/>
        <item x="430"/>
        <item x="348"/>
        <item x="867"/>
        <item x="514"/>
        <item x="193"/>
        <item x="661"/>
        <item x="353"/>
        <item x="48"/>
        <item x="670"/>
        <item x="266"/>
        <item x="860"/>
        <item x="805"/>
        <item x="620"/>
        <item x="702"/>
        <item x="839"/>
        <item x="500"/>
        <item x="287"/>
        <item x="861"/>
        <item x="78"/>
        <item x="118"/>
        <item x="375"/>
        <item x="785"/>
        <item x="406"/>
        <item x="840"/>
        <item x="523"/>
        <item x="799"/>
        <item x="443"/>
        <item x="354"/>
        <item x="665"/>
        <item x="213"/>
        <item x="518"/>
        <item x="750"/>
        <item x="852"/>
        <item x="504"/>
        <item x="245"/>
        <item x="531"/>
        <item x="802"/>
        <item x="351"/>
        <item x="697"/>
        <item x="109"/>
        <item x="768"/>
        <item x="310"/>
        <item x="77"/>
        <item x="827"/>
        <item x="312"/>
        <item x="456"/>
        <item x="566"/>
        <item x="783"/>
        <item x="724"/>
        <item x="816"/>
        <item x="305"/>
        <item x="817"/>
        <item x="132"/>
        <item x="528"/>
        <item x="140"/>
        <item x="472"/>
        <item x="779"/>
        <item x="662"/>
        <item x="110"/>
        <item x="407"/>
        <item x="809"/>
        <item x="596"/>
        <item x="434"/>
        <item x="577"/>
        <item x="853"/>
        <item x="358"/>
        <item x="209"/>
        <item x="191"/>
        <item x="547"/>
        <item x="763"/>
        <item x="820"/>
        <item x="410"/>
        <item x="334"/>
        <item x="542"/>
        <item x="634"/>
        <item x="89"/>
        <item x="270"/>
        <item x="703"/>
        <item x="435"/>
        <item x="167"/>
        <item x="122"/>
        <item x="32"/>
        <item x="812"/>
        <item x="134"/>
        <item x="82"/>
        <item x="644"/>
        <item x="75"/>
        <item x="732"/>
        <item x="176"/>
        <item x="291"/>
        <item x="788"/>
        <item x="311"/>
        <item x="733"/>
        <item x="527"/>
        <item x="769"/>
        <item x="401"/>
        <item x="417"/>
        <item x="753"/>
        <item x="53"/>
        <item x="381"/>
        <item x="592"/>
        <item x="2"/>
        <item x="276"/>
        <item x="403"/>
        <item x="423"/>
        <item x="824"/>
        <item x="385"/>
        <item x="367"/>
        <item x="564"/>
        <item x="452"/>
        <item x="797"/>
        <item x="314"/>
        <item x="98"/>
        <item x="294"/>
        <item x="854"/>
        <item x="129"/>
        <item x="633"/>
        <item x="252"/>
        <item x="667"/>
        <item x="432"/>
        <item x="187"/>
        <item x="746"/>
        <item x="320"/>
        <item x="138"/>
        <item x="602"/>
        <item x="0"/>
        <item x="304"/>
        <item x="57"/>
        <item x="487"/>
        <item x="15"/>
        <item x="710"/>
        <item x="241"/>
        <item x="146"/>
        <item x="229"/>
        <item x="171"/>
        <item x="628"/>
        <item x="264"/>
        <item x="731"/>
        <item x="552"/>
        <item x="333"/>
        <item x="736"/>
        <item x="378"/>
        <item x="477"/>
        <item x="555"/>
        <item x="546"/>
        <item x="679"/>
        <item x="700"/>
        <item x="721"/>
        <item x="681"/>
        <item x="513"/>
        <item x="780"/>
        <item x="218"/>
        <item x="216"/>
        <item x="580"/>
        <item x="705"/>
        <item x="38"/>
        <item x="468"/>
        <item x="674"/>
        <item x="678"/>
        <item x="92"/>
        <item x="379"/>
        <item x="757"/>
        <item x="751"/>
        <item x="161"/>
        <item x="190"/>
        <item x="100"/>
        <item x="629"/>
        <item x="711"/>
        <item x="618"/>
        <item x="475"/>
        <item x="826"/>
        <item x="322"/>
        <item x="706"/>
        <item x="395"/>
        <item x="79"/>
        <item x="366"/>
        <item x="484"/>
        <item x="177"/>
        <item x="716"/>
        <item x="160"/>
        <item x="321"/>
        <item x="237"/>
        <item x="669"/>
        <item x="739"/>
        <item x="587"/>
        <item x="194"/>
        <item x="474"/>
        <item x="137"/>
        <item x="490"/>
        <item x="198"/>
        <item x="609"/>
        <item x="586"/>
        <item x="123"/>
        <item x="579"/>
        <item x="427"/>
        <item x="162"/>
        <item x="120"/>
        <item x="35"/>
        <item x="52"/>
        <item x="263"/>
        <item x="463"/>
        <item x="1"/>
        <item x="583"/>
        <item x="838"/>
        <item x="804"/>
        <item x="741"/>
        <item x="729"/>
        <item x="255"/>
        <item x="680"/>
        <item x="793"/>
        <item x="709"/>
        <item x="643"/>
        <item x="211"/>
        <item x="442"/>
        <item x="719"/>
        <item x="538"/>
        <item x="603"/>
        <item x="208"/>
        <item x="686"/>
        <item x="658"/>
        <item x="265"/>
        <item x="723"/>
        <item x="646"/>
        <item x="201"/>
        <item x="130"/>
        <item x="789"/>
        <item x="657"/>
        <item x="236"/>
        <item x="221"/>
        <item x="567"/>
        <item x="600"/>
        <item x="303"/>
        <item x="111"/>
        <item x="626"/>
        <item x="576"/>
        <item x="673"/>
        <item x="557"/>
        <item x="568"/>
        <item x="645"/>
        <item x="335"/>
        <item x="370"/>
        <item x="641"/>
        <item x="112"/>
        <item x="424"/>
        <item x="821"/>
        <item x="599"/>
        <item x="285"/>
        <item x="299"/>
        <item x="14"/>
        <item x="543"/>
        <item x="589"/>
        <item x="728"/>
        <item x="306"/>
        <item x="749"/>
        <item x="13"/>
        <item x="639"/>
        <item x="39"/>
        <item x="622"/>
        <item x="844"/>
        <item x="855"/>
        <item x="61"/>
        <item x="22"/>
        <item x="664"/>
        <item x="638"/>
        <item x="325"/>
        <item x="455"/>
        <item x="635"/>
        <item x="630"/>
        <item x="399"/>
        <item x="446"/>
        <item x="419"/>
        <item x="687"/>
        <item x="616"/>
        <item x="431"/>
        <item x="71"/>
        <item x="653"/>
        <item x="28"/>
        <item x="273"/>
        <item x="315"/>
        <item x="88"/>
        <item x="37"/>
        <item x="107"/>
        <item x="153"/>
        <item x="307"/>
        <item x="400"/>
        <item x="45"/>
        <item x="420"/>
        <item x="856"/>
        <item x="573"/>
        <item x="540"/>
        <item x="19"/>
        <item x="675"/>
        <item x="200"/>
        <item x="151"/>
        <item x="113"/>
        <item x="17"/>
        <item x="685"/>
        <item x="759"/>
        <item x="498"/>
        <item x="536"/>
        <item x="60"/>
        <item x="436"/>
        <item x="486"/>
        <item x="819"/>
        <item x="501"/>
        <item x="197"/>
        <item x="450"/>
        <item x="512"/>
        <item x="590"/>
        <item x="725"/>
        <item x="578"/>
        <item x="517"/>
        <item x="58"/>
        <item x="499"/>
        <item x="610"/>
        <item x="454"/>
        <item x="440"/>
        <item x="41"/>
        <item x="526"/>
        <item x="656"/>
        <item x="825"/>
        <item x="539"/>
        <item x="598"/>
        <item x="391"/>
        <item x="439"/>
        <item x="389"/>
        <item x="571"/>
        <item x="533"/>
        <item x="145"/>
        <item x="451"/>
        <item x="459"/>
        <item x="421"/>
        <item x="842"/>
        <item x="621"/>
        <item x="787"/>
        <item x="163"/>
        <item x="640"/>
        <item x="541"/>
        <item x="684"/>
        <item x="708"/>
        <item x="619"/>
        <item x="743"/>
        <item x="212"/>
        <item x="605"/>
        <item x="453"/>
        <item x="105"/>
        <item x="281"/>
        <item x="210"/>
        <item x="74"/>
        <item x="652"/>
        <item x="274"/>
        <item x="831"/>
        <item x="507"/>
        <item x="148"/>
        <item x="562"/>
        <item x="754"/>
        <item x="473"/>
        <item x="784"/>
        <item x="869"/>
        <item x="515"/>
        <item x="227"/>
        <item x="257"/>
        <item x="324"/>
        <item x="429"/>
        <item x="5"/>
        <item x="464"/>
        <item x="623"/>
        <item x="530"/>
        <item x="591"/>
        <item x="437"/>
        <item x="346"/>
        <item x="476"/>
        <item x="309"/>
        <item x="414"/>
        <item x="535"/>
        <item x="607"/>
        <item x="404"/>
        <item x="144"/>
        <item x="584"/>
        <item x="29"/>
        <item x="691"/>
        <item x="405"/>
        <item x="781"/>
        <item x="228"/>
        <item x="510"/>
        <item x="550"/>
        <item x="482"/>
        <item x="180"/>
        <item x="164"/>
        <item x="707"/>
        <item x="413"/>
        <item x="207"/>
        <item x="505"/>
        <item x="494"/>
        <item x="469"/>
        <item x="762"/>
        <item x="448"/>
        <item x="447"/>
        <item x="97"/>
        <item x="42"/>
        <item x="318"/>
        <item x="851"/>
        <item x="416"/>
        <item x="331"/>
        <item x="742"/>
        <item x="374"/>
        <item x="581"/>
        <item x="4"/>
        <item x="537"/>
        <item x="509"/>
        <item x="184"/>
        <item x="478"/>
        <item x="80"/>
        <item x="369"/>
        <item x="373"/>
        <item x="272"/>
        <item x="384"/>
        <item x="83"/>
        <item x="371"/>
        <item x="574"/>
        <item x="196"/>
        <item x="282"/>
        <item x="672"/>
        <item x="594"/>
        <item x="103"/>
        <item x="845"/>
        <item x="127"/>
        <item x="650"/>
        <item x="508"/>
        <item x="813"/>
        <item x="327"/>
        <item x="195"/>
        <item x="479"/>
        <item x="433"/>
        <item x="337"/>
        <item x="156"/>
        <item x="368"/>
        <item x="323"/>
        <item x="694"/>
        <item x="503"/>
        <item x="556"/>
        <item x="794"/>
        <item x="791"/>
        <item x="226"/>
        <item x="520"/>
        <item x="147"/>
        <item x="396"/>
        <item x="611"/>
        <item x="458"/>
        <item x="328"/>
        <item x="372"/>
        <item x="350"/>
        <item x="119"/>
        <item x="418"/>
        <item x="128"/>
        <item x="613"/>
        <item x="157"/>
        <item x="359"/>
        <item x="582"/>
        <item x="857"/>
        <item x="647"/>
        <item x="560"/>
        <item x="415"/>
        <item x="380"/>
        <item x="524"/>
        <item x="718"/>
        <item x="671"/>
        <item x="12"/>
        <item x="340"/>
        <item x="93"/>
        <item x="522"/>
        <item x="293"/>
        <item x="833"/>
        <item x="411"/>
        <item x="534"/>
        <item x="777"/>
        <item x="136"/>
        <item x="251"/>
        <item x="771"/>
        <item x="412"/>
        <item x="572"/>
        <item x="668"/>
        <item x="497"/>
        <item x="143"/>
        <item x="279"/>
        <item x="492"/>
        <item x="233"/>
        <item x="338"/>
        <item x="701"/>
        <item x="480"/>
        <item x="376"/>
        <item x="222"/>
        <item x="302"/>
        <item x="319"/>
        <item x="90"/>
        <item x="760"/>
        <item x="677"/>
        <item x="308"/>
        <item x="185"/>
        <item x="818"/>
        <item x="26"/>
        <item x="836"/>
        <item x="243"/>
        <item x="862"/>
        <item x="6"/>
        <item x="166"/>
        <item x="426"/>
        <item x="47"/>
        <item x="502"/>
        <item x="95"/>
        <item x="76"/>
        <item x="604"/>
        <item x="765"/>
        <item x="258"/>
        <item x="235"/>
        <item x="570"/>
        <item x="428"/>
        <item x="445"/>
        <item x="837"/>
        <item x="329"/>
        <item x="772"/>
        <item x="206"/>
        <item x="696"/>
        <item x="814"/>
        <item x="18"/>
        <item x="46"/>
        <item x="261"/>
        <item x="254"/>
        <item x="491"/>
        <item x="139"/>
        <item x="183"/>
        <item x="559"/>
        <item x="360"/>
        <item x="50"/>
        <item x="521"/>
        <item x="239"/>
        <item x="217"/>
        <item x="561"/>
        <item x="230"/>
        <item x="357"/>
        <item x="253"/>
        <item x="316"/>
        <item x="606"/>
        <item x="313"/>
        <item x="390"/>
        <item x="545"/>
        <item x="402"/>
        <item x="776"/>
        <item x="597"/>
        <item x="268"/>
        <item x="275"/>
        <item x="786"/>
        <item x="649"/>
        <item x="301"/>
        <item x="790"/>
        <item x="422"/>
        <item x="551"/>
        <item x="585"/>
        <item x="326"/>
        <item x="553"/>
        <item x="755"/>
        <item x="615"/>
        <item x="365"/>
        <item x="495"/>
        <item x="345"/>
        <item x="377"/>
        <item x="465"/>
        <item x="256"/>
        <item x="388"/>
        <item x="815"/>
        <item x="868"/>
        <item x="234"/>
        <item x="744"/>
        <item x="834"/>
        <item x="383"/>
        <item x="516"/>
        <item x="648"/>
        <item x="219"/>
        <item x="519"/>
        <item x="278"/>
        <item x="588"/>
        <item x="748"/>
        <item x="726"/>
        <item x="126"/>
        <item x="246"/>
        <item x="267"/>
        <item x="86"/>
        <item x="506"/>
        <item x="471"/>
        <item x="549"/>
        <item x="828"/>
        <item x="283"/>
        <item x="511"/>
        <item x="269"/>
        <item x="766"/>
        <item x="525"/>
        <item x="116"/>
        <item x="554"/>
        <item x="125"/>
        <item x="467"/>
        <item x="356"/>
        <item x="300"/>
        <item x="382"/>
        <item x="205"/>
        <item x="631"/>
        <item x="409"/>
        <item x="317"/>
        <item x="72"/>
        <item x="154"/>
        <item x="59"/>
        <item x="178"/>
        <item x="150"/>
        <item x="40"/>
        <item x="849"/>
        <item x="660"/>
        <item x="155"/>
        <item x="204"/>
        <item x="398"/>
        <item x="169"/>
        <item x="699"/>
        <item x="332"/>
        <item x="683"/>
        <item x="361"/>
        <item x="612"/>
        <item x="775"/>
        <item x="81"/>
        <item x="864"/>
        <item x="286"/>
        <item x="43"/>
        <item x="483"/>
        <item x="214"/>
        <item x="692"/>
        <item x="730"/>
        <item x="544"/>
        <item x="277"/>
        <item x="188"/>
        <item x="807"/>
        <item x="470"/>
        <item x="114"/>
        <item x="349"/>
        <item x="682"/>
        <item x="223"/>
        <item x="182"/>
        <item x="565"/>
        <item x="30"/>
        <item x="466"/>
        <item x="347"/>
        <item x="170"/>
        <item x="761"/>
        <item x="848"/>
        <item x="627"/>
        <item x="240"/>
        <item x="168"/>
        <item x="737"/>
        <item x="159"/>
        <item x="386"/>
        <item x="3"/>
        <item x="740"/>
        <item x="798"/>
        <item x="688"/>
        <item x="352"/>
        <item x="722"/>
        <item x="393"/>
        <item x="172"/>
        <item x="734"/>
        <item x="767"/>
        <item x="735"/>
        <item x="461"/>
        <item x="336"/>
        <item x="800"/>
        <item x="496"/>
        <item x="99"/>
        <item x="782"/>
        <item x="96"/>
        <item x="651"/>
        <item x="133"/>
        <item x="297"/>
        <item x="202"/>
        <item x="457"/>
        <item x="73"/>
        <item x="822"/>
        <item x="289"/>
        <item x="165"/>
        <item x="244"/>
        <item x="829"/>
        <item x="715"/>
        <item x="773"/>
        <item x="186"/>
        <item x="85"/>
        <item x="801"/>
        <item x="795"/>
        <item x="101"/>
        <item x="249"/>
        <item x="344"/>
        <item x="10"/>
        <item x="632"/>
        <item x="712"/>
        <item x="224"/>
        <item x="288"/>
        <item x="811"/>
        <item x="792"/>
        <item x="850"/>
        <item x="355"/>
        <item x="65"/>
        <item x="778"/>
        <item x="158"/>
        <item x="8"/>
        <item x="408"/>
        <item x="738"/>
        <item x="575"/>
        <item x="232"/>
        <item x="774"/>
        <item x="636"/>
        <item x="438"/>
        <item x="764"/>
        <item x="614"/>
        <item x="49"/>
        <item x="339"/>
        <item x="637"/>
        <item x="425"/>
        <item x="108"/>
        <item x="796"/>
        <item x="841"/>
        <item x="810"/>
        <item x="698"/>
        <item x="704"/>
        <item x="68"/>
        <item x="341"/>
        <item x="343"/>
        <item x="462"/>
        <item x="91"/>
        <item x="181"/>
        <item x="493"/>
        <item x="290"/>
        <item x="758"/>
        <item x="548"/>
        <item x="142"/>
        <item x="659"/>
        <item x="608"/>
        <item x="64"/>
        <item x="231"/>
        <item x="666"/>
        <item x="460"/>
        <item x="117"/>
        <item x="752"/>
        <item x="84"/>
        <item x="106"/>
        <item x="689"/>
        <item x="727"/>
        <item x="485"/>
        <item x="756"/>
        <item x="298"/>
        <item x="63"/>
        <item x="55"/>
        <item x="823"/>
        <item x="858"/>
        <item x="152"/>
        <item x="693"/>
        <item x="250"/>
        <item x="441"/>
        <item x="558"/>
        <item x="481"/>
        <item x="34"/>
        <item x="199"/>
        <item x="593"/>
        <item x="175"/>
        <item x="449"/>
        <item x="284"/>
        <item x="54"/>
        <item x="642"/>
        <item x="66"/>
        <item x="280"/>
        <item x="601"/>
        <item x="655"/>
        <item x="617"/>
        <item x="714"/>
        <item x="806"/>
        <item x="51"/>
        <item x="36"/>
        <item x="488"/>
        <item x="62"/>
        <item x="663"/>
        <item x="31"/>
        <item x="225"/>
        <item x="25"/>
        <item x="846"/>
        <item x="69"/>
        <item x="102"/>
        <item x="44"/>
        <item x="295"/>
        <item x="770"/>
        <item x="135"/>
        <item x="803"/>
        <item x="141"/>
        <item x="67"/>
        <item x="242"/>
        <item x="56"/>
        <item x="695"/>
        <item x="24"/>
        <item x="832"/>
        <item x="676"/>
        <item x="830"/>
        <item x="859"/>
        <item x="397"/>
        <item x="847"/>
        <item x="247"/>
        <item x="124"/>
        <item x="21"/>
        <item x="262"/>
        <item x="624"/>
        <item x="149"/>
        <item x="115"/>
        <item x="625"/>
        <item x="569"/>
        <item x="20"/>
        <item x="362"/>
        <item x="529"/>
        <item x="745"/>
        <item x="87"/>
        <item x="808"/>
        <item x="863"/>
        <item x="387"/>
        <item x="690"/>
        <item x="33"/>
        <item x="260"/>
        <item x="203"/>
        <item x="174"/>
        <item x="843"/>
        <item x="865"/>
        <item x="27"/>
        <item x="16"/>
        <item x="131"/>
        <item x="215"/>
        <item x="364"/>
        <item x="259"/>
        <item x="654"/>
        <item x="747"/>
        <item x="444"/>
        <item x="342"/>
        <item x="121"/>
        <item x="104"/>
        <item x="392"/>
        <item x="238"/>
        <item x="835"/>
        <item x="11"/>
        <item x="173"/>
        <item x="94"/>
        <item x="330"/>
        <item x="189"/>
        <item x="23"/>
        <item x="489"/>
        <item x="70"/>
        <item x="595"/>
        <item x="248"/>
        <item x="271"/>
        <item x="292"/>
        <item x="720"/>
        <item x="717"/>
        <item x="192"/>
        <item x="394"/>
        <item x="532"/>
        <item x="7"/>
        <item x="9"/>
        <item x="296"/>
        <item x="87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2" baseItem="3" numFmtId="164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CBEFB-6E7E-42DA-91F0-6137CB13901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4AFBC-077D-4FAA-93D2-E8C2531653AD}" name="SalesTbl" displayName="SalesTbl" ref="A1:O1002" totalsRowShown="0">
  <autoFilter ref="A1:O1002" xr:uid="{E6D4AFBC-077D-4FAA-93D2-E8C2531653AD}"/>
  <sortState xmlns:xlrd2="http://schemas.microsoft.com/office/spreadsheetml/2017/richdata2" ref="A9:N1001">
    <sortCondition descending="1" ref="K1:K1002"/>
  </sortState>
  <tableColumns count="15">
    <tableColumn id="1" xr3:uid="{CC23A7DA-3353-4655-8BF6-098BB65B3FC0}" name="Order_ID"/>
    <tableColumn id="2" xr3:uid="{EC035F61-7F19-4DA8-8259-70E59BD75B47}" name="Date"/>
    <tableColumn id="3" xr3:uid="{1784CD7B-2BBF-4921-8740-56A204855CCE}" name="Region"/>
    <tableColumn id="4" xr3:uid="{A486A6D3-AF84-434D-98DD-4A47FA50B744}" name="Salesperson"/>
    <tableColumn id="5" xr3:uid="{5141BC59-B234-4D79-AA34-F5A29BB09333}" name="Product"/>
    <tableColumn id="6" xr3:uid="{B9B3A1AB-DF85-4899-9DCC-D2FF26B211AB}" name="Category"/>
    <tableColumn id="7" xr3:uid="{278E7C75-778F-4803-8711-3F5B171304F1}" name="Units_Sold"/>
    <tableColumn id="8" xr3:uid="{CDD55276-0EEA-48F2-B577-A295AC730AE2}" name="Unit_Price"/>
    <tableColumn id="9" xr3:uid="{3B06E9CA-2950-473B-8CAF-CC4B36BCB52F}" name="Sales"/>
    <tableColumn id="10" xr3:uid="{9F067369-8A8C-4375-9F34-7BA73C972CB6}" name="Cost"/>
    <tableColumn id="11" xr3:uid="{DCFB27CF-CE70-4702-B5BB-21513F1CF0CB}" name="Profit"/>
    <tableColumn id="12" xr3:uid="{18CE7EC0-6CBE-4CDF-B058-2B9CEEDB4312}" name="Payment_Method"/>
    <tableColumn id="13" xr3:uid="{5FC094E4-38C5-4475-95CF-731E7647F9AB}" name="Customer_Type"/>
    <tableColumn id="14" xr3:uid="{F41D32BE-D94C-4FE5-BAC5-15520EF8DB5F}" name="Profit_Status" dataDxfId="2">
      <calculatedColumnFormula>IF(SalesTbl[[#This Row],[Profit]]&gt;180,"High Profit","Low Profit")</calculatedColumnFormula>
    </tableColumn>
    <tableColumn id="15" xr3:uid="{74BA49B5-D9B2-43C7-9BF0-AB416299520C}" name="Month" dataDxfId="1">
      <calculatedColumnFormula>TEXT(SalesTbl[[#This Row],[Date]],"dd")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8A3F-C3D2-4A8B-BE5D-473A0BEC2042}">
  <dimension ref="A3:B9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5.109375" bestFit="1" customWidth="1"/>
  </cols>
  <sheetData>
    <row r="3" spans="1:2" x14ac:dyDescent="0.3">
      <c r="A3" s="10" t="s">
        <v>220</v>
      </c>
      <c r="B3" t="s">
        <v>230</v>
      </c>
    </row>
    <row r="4" spans="1:2" x14ac:dyDescent="0.3">
      <c r="A4" s="11" t="s">
        <v>28</v>
      </c>
      <c r="B4" s="13">
        <v>206</v>
      </c>
    </row>
    <row r="5" spans="1:2" x14ac:dyDescent="0.3">
      <c r="A5" s="11" t="s">
        <v>24</v>
      </c>
      <c r="B5" s="13">
        <v>209</v>
      </c>
    </row>
    <row r="6" spans="1:2" x14ac:dyDescent="0.3">
      <c r="A6" s="11" t="s">
        <v>18</v>
      </c>
      <c r="B6" s="13">
        <v>188</v>
      </c>
    </row>
    <row r="7" spans="1:2" x14ac:dyDescent="0.3">
      <c r="A7" s="11" t="s">
        <v>38</v>
      </c>
      <c r="B7" s="13">
        <v>194</v>
      </c>
    </row>
    <row r="8" spans="1:2" x14ac:dyDescent="0.3">
      <c r="A8" s="11" t="s">
        <v>33</v>
      </c>
      <c r="B8" s="13">
        <v>203</v>
      </c>
    </row>
    <row r="9" spans="1:2" x14ac:dyDescent="0.3">
      <c r="A9" s="11" t="s">
        <v>221</v>
      </c>
      <c r="B9" s="13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3C4E-6F70-46F7-B365-A1E93FAE6111}">
  <dimension ref="A3:C8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4.6640625" bestFit="1" customWidth="1"/>
  </cols>
  <sheetData>
    <row r="3" spans="1:3" x14ac:dyDescent="0.3">
      <c r="A3" s="10" t="s">
        <v>220</v>
      </c>
      <c r="B3" t="s">
        <v>222</v>
      </c>
      <c r="C3" t="s">
        <v>223</v>
      </c>
    </row>
    <row r="4" spans="1:3" x14ac:dyDescent="0.3">
      <c r="A4" s="11" t="s">
        <v>15</v>
      </c>
      <c r="B4" s="12">
        <v>805492</v>
      </c>
      <c r="C4" s="12">
        <v>243574</v>
      </c>
    </row>
    <row r="5" spans="1:3" x14ac:dyDescent="0.3">
      <c r="A5" s="11" t="s">
        <v>26</v>
      </c>
      <c r="B5" s="12">
        <v>634604</v>
      </c>
      <c r="C5" s="12">
        <v>197406</v>
      </c>
    </row>
    <row r="6" spans="1:3" x14ac:dyDescent="0.3">
      <c r="A6" s="11" t="s">
        <v>32</v>
      </c>
      <c r="B6" s="12">
        <v>756890</v>
      </c>
      <c r="C6" s="12">
        <v>226593</v>
      </c>
    </row>
    <row r="7" spans="1:3" x14ac:dyDescent="0.3">
      <c r="A7" s="11" t="s">
        <v>35</v>
      </c>
      <c r="B7" s="12">
        <v>742663</v>
      </c>
      <c r="C7" s="12">
        <v>221993</v>
      </c>
    </row>
    <row r="8" spans="1:3" x14ac:dyDescent="0.3">
      <c r="A8" s="11" t="s">
        <v>221</v>
      </c>
      <c r="B8" s="12">
        <v>2939649</v>
      </c>
      <c r="C8" s="12">
        <v>889566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BC9-64FC-4D74-B4A9-3195FF6205F5}">
  <dimension ref="A3:B10"/>
  <sheetViews>
    <sheetView workbookViewId="0">
      <selection activeCell="I21" sqref="I21"/>
    </sheetView>
  </sheetViews>
  <sheetFormatPr defaultRowHeight="14.4" x14ac:dyDescent="0.3"/>
  <cols>
    <col min="1" max="1" width="12.5546875" bestFit="1" customWidth="1"/>
    <col min="2" max="2" width="15.6640625" bestFit="1" customWidth="1"/>
  </cols>
  <sheetData>
    <row r="3" spans="1:2" x14ac:dyDescent="0.3">
      <c r="A3" s="10" t="s">
        <v>220</v>
      </c>
      <c r="B3" t="s">
        <v>222</v>
      </c>
    </row>
    <row r="4" spans="1:2" x14ac:dyDescent="0.3">
      <c r="A4" s="11" t="s">
        <v>224</v>
      </c>
      <c r="B4" s="12">
        <v>533856</v>
      </c>
    </row>
    <row r="5" spans="1:2" x14ac:dyDescent="0.3">
      <c r="A5" s="11" t="s">
        <v>225</v>
      </c>
      <c r="B5" s="12">
        <v>457985</v>
      </c>
    </row>
    <row r="6" spans="1:2" x14ac:dyDescent="0.3">
      <c r="A6" s="11" t="s">
        <v>226</v>
      </c>
      <c r="B6" s="12">
        <v>473270</v>
      </c>
    </row>
    <row r="7" spans="1:2" x14ac:dyDescent="0.3">
      <c r="A7" s="11" t="s">
        <v>227</v>
      </c>
      <c r="B7" s="12">
        <v>564909</v>
      </c>
    </row>
    <row r="8" spans="1:2" x14ac:dyDescent="0.3">
      <c r="A8" s="11" t="s">
        <v>228</v>
      </c>
      <c r="B8" s="12">
        <v>434214</v>
      </c>
    </row>
    <row r="9" spans="1:2" x14ac:dyDescent="0.3">
      <c r="A9" s="11" t="s">
        <v>229</v>
      </c>
      <c r="B9" s="12">
        <v>475415</v>
      </c>
    </row>
    <row r="10" spans="1:2" x14ac:dyDescent="0.3">
      <c r="A10" s="11" t="s">
        <v>221</v>
      </c>
      <c r="B10" s="12">
        <v>2939649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8762-5FCE-462B-BADC-8F14B8CC4E32}">
  <dimension ref="A3:B10"/>
  <sheetViews>
    <sheetView workbookViewId="0">
      <selection activeCell="K27" sqref="K27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10" t="s">
        <v>220</v>
      </c>
      <c r="B3" t="s">
        <v>223</v>
      </c>
    </row>
    <row r="4" spans="1:2" x14ac:dyDescent="0.3">
      <c r="A4" s="11" t="s">
        <v>22</v>
      </c>
      <c r="B4" s="12">
        <v>149268</v>
      </c>
    </row>
    <row r="5" spans="1:2" x14ac:dyDescent="0.3">
      <c r="A5" s="11" t="s">
        <v>54</v>
      </c>
      <c r="B5" s="12">
        <v>152431</v>
      </c>
    </row>
    <row r="6" spans="1:2" x14ac:dyDescent="0.3">
      <c r="A6" s="11" t="s">
        <v>27</v>
      </c>
      <c r="B6" s="12">
        <v>131787</v>
      </c>
    </row>
    <row r="7" spans="1:2" x14ac:dyDescent="0.3">
      <c r="A7" s="11" t="s">
        <v>48</v>
      </c>
      <c r="B7" s="12">
        <v>166344</v>
      </c>
    </row>
    <row r="8" spans="1:2" x14ac:dyDescent="0.3">
      <c r="A8" s="11" t="s">
        <v>41</v>
      </c>
      <c r="B8" s="12">
        <v>148048</v>
      </c>
    </row>
    <row r="9" spans="1:2" x14ac:dyDescent="0.3">
      <c r="A9" s="11" t="s">
        <v>16</v>
      </c>
      <c r="B9" s="12">
        <v>141688</v>
      </c>
    </row>
    <row r="10" spans="1:2" x14ac:dyDescent="0.3">
      <c r="A10" s="11" t="s">
        <v>221</v>
      </c>
      <c r="B10" s="12">
        <v>889566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FD61-51A4-42F2-BB43-E12279D90D90}">
  <dimension ref="C5"/>
  <sheetViews>
    <sheetView tabSelected="1" workbookViewId="0">
      <selection activeCell="D12" sqref="D12"/>
    </sheetView>
  </sheetViews>
  <sheetFormatPr defaultRowHeight="14.4" x14ac:dyDescent="0.3"/>
  <cols>
    <col min="1" max="1" width="19.44140625" customWidth="1"/>
    <col min="2" max="2" width="15.109375" customWidth="1"/>
  </cols>
  <sheetData>
    <row r="5" spans="3:3" x14ac:dyDescent="0.3">
      <c r="C5" t="s">
        <v>231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B9BB-7A06-4F38-A41E-80CD3022D5B7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6640625" bestFit="1" customWidth="1"/>
  </cols>
  <sheetData>
    <row r="3" spans="1:2" x14ac:dyDescent="0.3">
      <c r="A3" s="10" t="s">
        <v>220</v>
      </c>
      <c r="B3" t="s">
        <v>222</v>
      </c>
    </row>
    <row r="4" spans="1:2" x14ac:dyDescent="0.3">
      <c r="A4" s="11" t="s">
        <v>21</v>
      </c>
      <c r="B4" s="12">
        <v>703054</v>
      </c>
    </row>
    <row r="5" spans="1:2" x14ac:dyDescent="0.3">
      <c r="A5" s="11" t="s">
        <v>14</v>
      </c>
      <c r="B5" s="12">
        <v>680031</v>
      </c>
    </row>
    <row r="6" spans="1:2" x14ac:dyDescent="0.3">
      <c r="A6" s="11" t="s">
        <v>40</v>
      </c>
      <c r="B6" s="12">
        <v>766066</v>
      </c>
    </row>
    <row r="7" spans="1:2" x14ac:dyDescent="0.3">
      <c r="A7" s="11" t="s">
        <v>31</v>
      </c>
      <c r="B7" s="12">
        <v>790498</v>
      </c>
    </row>
    <row r="8" spans="1:2" x14ac:dyDescent="0.3">
      <c r="A8" s="11" t="s">
        <v>221</v>
      </c>
      <c r="B8" s="12">
        <v>2939649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3149-9E55-4342-B145-611D3BE0FE18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316E-DD62-4C11-9507-8F526D57B3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2"/>
  <sheetViews>
    <sheetView workbookViewId="0">
      <selection activeCell="R984" sqref="R984"/>
    </sheetView>
  </sheetViews>
  <sheetFormatPr defaultRowHeight="14.4" x14ac:dyDescent="0.3"/>
  <cols>
    <col min="1" max="1" width="10.44140625" customWidth="1"/>
    <col min="4" max="4" width="12.88671875" customWidth="1"/>
    <col min="5" max="5" width="9.5546875" customWidth="1"/>
    <col min="6" max="6" width="10.44140625" customWidth="1"/>
    <col min="7" max="7" width="11.88671875" customWidth="1"/>
    <col min="8" max="8" width="11.5546875" customWidth="1"/>
    <col min="12" max="12" width="18.21875" customWidth="1"/>
    <col min="13" max="13" width="16.109375" customWidth="1"/>
    <col min="14" max="14" width="17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218</v>
      </c>
      <c r="O1" t="s">
        <v>219</v>
      </c>
    </row>
    <row r="2" spans="1:15" x14ac:dyDescent="0.3">
      <c r="A2">
        <v>1001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354</v>
      </c>
      <c r="I2">
        <v>708</v>
      </c>
      <c r="J2">
        <v>446</v>
      </c>
      <c r="K2">
        <v>262</v>
      </c>
      <c r="L2" t="s">
        <v>18</v>
      </c>
      <c r="M2" t="s">
        <v>19</v>
      </c>
      <c r="N2" t="str">
        <f>IF(SalesTbl[[#This Row],[Profit]]&gt;180,"High Profit","Low Profit")</f>
        <v>High Profit</v>
      </c>
      <c r="O2" t="str">
        <f>TEXT(SalesTbl[[#This Row],[Date]],"mmm")</f>
        <v>Feb</v>
      </c>
    </row>
    <row r="3" spans="1:15" x14ac:dyDescent="0.3">
      <c r="A3">
        <v>1002</v>
      </c>
      <c r="B3" t="s">
        <v>20</v>
      </c>
      <c r="C3" t="s">
        <v>21</v>
      </c>
      <c r="D3" t="s">
        <v>15</v>
      </c>
      <c r="E3" t="s">
        <v>22</v>
      </c>
      <c r="F3" t="s">
        <v>23</v>
      </c>
      <c r="G3">
        <v>3</v>
      </c>
      <c r="H3">
        <v>345</v>
      </c>
      <c r="I3">
        <v>1035</v>
      </c>
      <c r="J3">
        <v>714</v>
      </c>
      <c r="K3">
        <v>321</v>
      </c>
      <c r="L3" t="s">
        <v>24</v>
      </c>
      <c r="M3" t="s">
        <v>19</v>
      </c>
      <c r="N3" t="str">
        <f>IF(SalesTbl[[#This Row],[Profit]]&gt;180,"High Profit","Low Profit")</f>
        <v>High Profit</v>
      </c>
      <c r="O3" t="str">
        <f>TEXT(SalesTbl[[#This Row],[Date]],"mmm")</f>
        <v>May</v>
      </c>
    </row>
    <row r="4" spans="1:15" x14ac:dyDescent="0.3">
      <c r="A4">
        <v>1003</v>
      </c>
      <c r="B4" t="s">
        <v>25</v>
      </c>
      <c r="C4" t="s">
        <v>14</v>
      </c>
      <c r="D4" t="s">
        <v>26</v>
      </c>
      <c r="E4" t="s">
        <v>27</v>
      </c>
      <c r="F4" t="s">
        <v>17</v>
      </c>
      <c r="G4">
        <v>2</v>
      </c>
      <c r="H4">
        <v>315</v>
      </c>
      <c r="I4">
        <v>630</v>
      </c>
      <c r="J4">
        <v>466</v>
      </c>
      <c r="K4">
        <v>164</v>
      </c>
      <c r="L4" t="s">
        <v>28</v>
      </c>
      <c r="M4" t="s">
        <v>29</v>
      </c>
      <c r="N4" t="str">
        <f>IF(SalesTbl[[#This Row],[Profit]]&gt;180,"High Profit","Low Profit")</f>
        <v>Low Profit</v>
      </c>
      <c r="O4" t="str">
        <f>TEXT(SalesTbl[[#This Row],[Date]],"mmm")</f>
        <v>Feb</v>
      </c>
    </row>
    <row r="5" spans="1:15" x14ac:dyDescent="0.3">
      <c r="A5">
        <v>1004</v>
      </c>
      <c r="B5" t="s">
        <v>30</v>
      </c>
      <c r="C5" t="s">
        <v>31</v>
      </c>
      <c r="D5" t="s">
        <v>32</v>
      </c>
      <c r="E5" t="s">
        <v>16</v>
      </c>
      <c r="F5" t="s">
        <v>17</v>
      </c>
      <c r="G5">
        <v>7</v>
      </c>
      <c r="H5">
        <v>669</v>
      </c>
      <c r="I5">
        <v>4683</v>
      </c>
      <c r="J5">
        <v>3371</v>
      </c>
      <c r="K5">
        <v>1312</v>
      </c>
      <c r="L5" t="s">
        <v>33</v>
      </c>
      <c r="M5" t="s">
        <v>29</v>
      </c>
      <c r="N5" t="str">
        <f>IF(SalesTbl[[#This Row],[Profit]]&gt;180,"High Profit","Low Profit")</f>
        <v>High Profit</v>
      </c>
      <c r="O5" t="str">
        <f>TEXT(SalesTbl[[#This Row],[Date]],"mmm")</f>
        <v>Feb</v>
      </c>
    </row>
    <row r="6" spans="1:15" x14ac:dyDescent="0.3">
      <c r="A6">
        <v>1005</v>
      </c>
      <c r="B6" t="s">
        <v>34</v>
      </c>
      <c r="C6" t="s">
        <v>14</v>
      </c>
      <c r="D6" t="s">
        <v>35</v>
      </c>
      <c r="E6" t="s">
        <v>22</v>
      </c>
      <c r="F6" t="s">
        <v>23</v>
      </c>
      <c r="G6">
        <v>5</v>
      </c>
      <c r="H6">
        <v>447</v>
      </c>
      <c r="I6">
        <v>2235</v>
      </c>
      <c r="J6">
        <v>1765</v>
      </c>
      <c r="K6">
        <v>470</v>
      </c>
      <c r="L6" t="s">
        <v>28</v>
      </c>
      <c r="M6" t="s">
        <v>19</v>
      </c>
      <c r="N6" t="str">
        <f>IF(SalesTbl[[#This Row],[Profit]]&gt;180,"High Profit","Low Profit")</f>
        <v>High Profit</v>
      </c>
      <c r="O6" t="str">
        <f>TEXT(SalesTbl[[#This Row],[Date]],"mmm")</f>
        <v>Mar</v>
      </c>
    </row>
    <row r="7" spans="1:15" x14ac:dyDescent="0.3">
      <c r="A7">
        <v>1006</v>
      </c>
      <c r="B7" t="s">
        <v>36</v>
      </c>
      <c r="C7" t="s">
        <v>31</v>
      </c>
      <c r="D7" t="s">
        <v>35</v>
      </c>
      <c r="E7" t="s">
        <v>27</v>
      </c>
      <c r="F7" t="s">
        <v>17</v>
      </c>
      <c r="G7">
        <v>7</v>
      </c>
      <c r="H7">
        <v>275</v>
      </c>
      <c r="I7">
        <v>1925</v>
      </c>
      <c r="J7">
        <v>1289</v>
      </c>
      <c r="K7">
        <v>636</v>
      </c>
      <c r="L7" t="s">
        <v>33</v>
      </c>
      <c r="M7" t="s">
        <v>19</v>
      </c>
      <c r="N7" t="str">
        <f>IF(SalesTbl[[#This Row],[Profit]]&gt;180,"High Profit","Low Profit")</f>
        <v>High Profit</v>
      </c>
      <c r="O7" t="str">
        <f>TEXT(SalesTbl[[#This Row],[Date]],"mmm")</f>
        <v>May</v>
      </c>
    </row>
    <row r="8" spans="1:15" x14ac:dyDescent="0.3">
      <c r="A8">
        <v>1007</v>
      </c>
      <c r="B8" t="s">
        <v>37</v>
      </c>
      <c r="C8" t="s">
        <v>21</v>
      </c>
      <c r="D8" t="s">
        <v>35</v>
      </c>
      <c r="E8" t="s">
        <v>16</v>
      </c>
      <c r="F8" t="s">
        <v>17</v>
      </c>
      <c r="G8">
        <v>4</v>
      </c>
      <c r="H8">
        <v>765</v>
      </c>
      <c r="I8">
        <v>3060</v>
      </c>
      <c r="J8">
        <v>2142</v>
      </c>
      <c r="K8">
        <v>918</v>
      </c>
      <c r="L8" t="s">
        <v>38</v>
      </c>
      <c r="M8" t="s">
        <v>19</v>
      </c>
      <c r="N8" t="str">
        <f>IF(SalesTbl[[#This Row],[Profit]]&gt;180,"High Profit","Low Profit")</f>
        <v>High Profit</v>
      </c>
      <c r="O8" t="str">
        <f>TEXT(SalesTbl[[#This Row],[Date]],"mmm")</f>
        <v>Jan</v>
      </c>
    </row>
    <row r="9" spans="1:15" x14ac:dyDescent="0.3">
      <c r="A9">
        <v>1289</v>
      </c>
      <c r="B9" t="s">
        <v>183</v>
      </c>
      <c r="C9" t="s">
        <v>40</v>
      </c>
      <c r="D9" t="s">
        <v>32</v>
      </c>
      <c r="E9" t="s">
        <v>41</v>
      </c>
      <c r="F9" t="s">
        <v>17</v>
      </c>
      <c r="G9">
        <v>10</v>
      </c>
      <c r="H9">
        <v>975</v>
      </c>
      <c r="I9">
        <v>9750</v>
      </c>
      <c r="J9">
        <v>6142</v>
      </c>
      <c r="K9">
        <v>3608</v>
      </c>
      <c r="L9" t="s">
        <v>28</v>
      </c>
      <c r="M9" t="s">
        <v>19</v>
      </c>
      <c r="N9" t="str">
        <f>IF(SalesTbl[[#This Row],[Profit]]&gt;180,"High Profit","Low Profit")</f>
        <v>High Profit</v>
      </c>
      <c r="O9" t="str">
        <f>TEXT(SalesTbl[[#This Row],[Date]],"mmm")</f>
        <v>Apr</v>
      </c>
    </row>
    <row r="10" spans="1:15" x14ac:dyDescent="0.3">
      <c r="A10">
        <v>1009</v>
      </c>
      <c r="B10" t="s">
        <v>42</v>
      </c>
      <c r="C10" t="s">
        <v>31</v>
      </c>
      <c r="D10" t="s">
        <v>15</v>
      </c>
      <c r="E10" t="s">
        <v>16</v>
      </c>
      <c r="F10" t="s">
        <v>17</v>
      </c>
      <c r="G10">
        <v>10</v>
      </c>
      <c r="H10">
        <v>551</v>
      </c>
      <c r="I10">
        <v>5510</v>
      </c>
      <c r="J10">
        <v>3857</v>
      </c>
      <c r="K10">
        <v>1653</v>
      </c>
      <c r="L10" t="s">
        <v>28</v>
      </c>
      <c r="M10" t="s">
        <v>19</v>
      </c>
      <c r="N10" t="str">
        <f>IF(SalesTbl[[#This Row],[Profit]]&gt;180,"High Profit","Low Profit")</f>
        <v>High Profit</v>
      </c>
      <c r="O10" t="str">
        <f>TEXT(SalesTbl[[#This Row],[Date]],"mmm")</f>
        <v>Apr</v>
      </c>
    </row>
    <row r="11" spans="1:15" x14ac:dyDescent="0.3">
      <c r="A11">
        <v>1058</v>
      </c>
      <c r="B11" t="s">
        <v>85</v>
      </c>
      <c r="C11" t="s">
        <v>40</v>
      </c>
      <c r="D11" t="s">
        <v>35</v>
      </c>
      <c r="E11" t="s">
        <v>27</v>
      </c>
      <c r="F11" t="s">
        <v>17</v>
      </c>
      <c r="G11">
        <v>10</v>
      </c>
      <c r="H11">
        <v>983</v>
      </c>
      <c r="I11">
        <v>9830</v>
      </c>
      <c r="J11">
        <v>6487</v>
      </c>
      <c r="K11">
        <v>3343</v>
      </c>
      <c r="L11" t="s">
        <v>18</v>
      </c>
      <c r="M11" t="s">
        <v>19</v>
      </c>
      <c r="N11" t="str">
        <f>IF(SalesTbl[[#This Row],[Profit]]&gt;180,"High Profit","Low Profit")</f>
        <v>High Profit</v>
      </c>
      <c r="O11" t="str">
        <f>TEXT(SalesTbl[[#This Row],[Date]],"mmm")</f>
        <v>Jun</v>
      </c>
    </row>
    <row r="12" spans="1:15" x14ac:dyDescent="0.3">
      <c r="A12">
        <v>1011</v>
      </c>
      <c r="B12" t="s">
        <v>44</v>
      </c>
      <c r="C12" t="s">
        <v>31</v>
      </c>
      <c r="D12" t="s">
        <v>26</v>
      </c>
      <c r="E12" t="s">
        <v>22</v>
      </c>
      <c r="F12" t="s">
        <v>23</v>
      </c>
      <c r="G12">
        <v>7</v>
      </c>
      <c r="H12">
        <v>759</v>
      </c>
      <c r="I12">
        <v>5313</v>
      </c>
      <c r="J12">
        <v>3931</v>
      </c>
      <c r="K12">
        <v>1382</v>
      </c>
      <c r="L12" t="s">
        <v>28</v>
      </c>
      <c r="M12" t="s">
        <v>29</v>
      </c>
      <c r="N12" t="str">
        <f>IF(SalesTbl[[#This Row],[Profit]]&gt;180,"High Profit","Low Profit")</f>
        <v>High Profit</v>
      </c>
      <c r="O12" t="str">
        <f>TEXT(SalesTbl[[#This Row],[Date]],"mmm")</f>
        <v>Jan</v>
      </c>
    </row>
    <row r="13" spans="1:15" x14ac:dyDescent="0.3">
      <c r="A13">
        <v>1056</v>
      </c>
      <c r="B13" t="s">
        <v>83</v>
      </c>
      <c r="C13" t="s">
        <v>40</v>
      </c>
      <c r="D13" t="s">
        <v>15</v>
      </c>
      <c r="E13" t="s">
        <v>54</v>
      </c>
      <c r="F13" t="s">
        <v>17</v>
      </c>
      <c r="G13">
        <v>9</v>
      </c>
      <c r="H13">
        <v>961</v>
      </c>
      <c r="I13">
        <v>8649</v>
      </c>
      <c r="J13">
        <v>5448</v>
      </c>
      <c r="K13">
        <v>3201</v>
      </c>
      <c r="L13" t="s">
        <v>28</v>
      </c>
      <c r="M13" t="s">
        <v>29</v>
      </c>
      <c r="N13" t="str">
        <f>IF(SalesTbl[[#This Row],[Profit]]&gt;180,"High Profit","Low Profit")</f>
        <v>High Profit</v>
      </c>
      <c r="O13" t="str">
        <f>TEXT(SalesTbl[[#This Row],[Date]],"mmm")</f>
        <v>Jun</v>
      </c>
    </row>
    <row r="14" spans="1:15" x14ac:dyDescent="0.3">
      <c r="A14">
        <v>1013</v>
      </c>
      <c r="B14" t="s">
        <v>46</v>
      </c>
      <c r="C14" t="s">
        <v>31</v>
      </c>
      <c r="D14" t="s">
        <v>35</v>
      </c>
      <c r="E14" t="s">
        <v>22</v>
      </c>
      <c r="F14" t="s">
        <v>23</v>
      </c>
      <c r="G14">
        <v>4</v>
      </c>
      <c r="H14">
        <v>678</v>
      </c>
      <c r="I14">
        <v>2712</v>
      </c>
      <c r="J14">
        <v>2088</v>
      </c>
      <c r="K14">
        <v>624</v>
      </c>
      <c r="L14" t="s">
        <v>33</v>
      </c>
      <c r="M14" t="s">
        <v>29</v>
      </c>
      <c r="N14" t="str">
        <f>IF(SalesTbl[[#This Row],[Profit]]&gt;180,"High Profit","Low Profit")</f>
        <v>High Profit</v>
      </c>
      <c r="O14" t="str">
        <f>TEXT(SalesTbl[[#This Row],[Date]],"mmm")</f>
        <v>Mar</v>
      </c>
    </row>
    <row r="15" spans="1:15" x14ac:dyDescent="0.3">
      <c r="A15">
        <v>1014</v>
      </c>
      <c r="B15" t="s">
        <v>46</v>
      </c>
      <c r="C15" t="s">
        <v>31</v>
      </c>
      <c r="D15" t="s">
        <v>32</v>
      </c>
      <c r="E15" t="s">
        <v>41</v>
      </c>
      <c r="F15" t="s">
        <v>17</v>
      </c>
      <c r="G15">
        <v>8</v>
      </c>
      <c r="H15">
        <v>161</v>
      </c>
      <c r="I15">
        <v>1288</v>
      </c>
      <c r="J15">
        <v>862</v>
      </c>
      <c r="K15">
        <v>426</v>
      </c>
      <c r="L15" t="s">
        <v>24</v>
      </c>
      <c r="M15" t="s">
        <v>19</v>
      </c>
      <c r="N15" t="str">
        <f>IF(SalesTbl[[#This Row],[Profit]]&gt;180,"High Profit","Low Profit")</f>
        <v>High Profit</v>
      </c>
      <c r="O15" t="str">
        <f>TEXT(SalesTbl[[#This Row],[Date]],"mmm")</f>
        <v>Mar</v>
      </c>
    </row>
    <row r="16" spans="1:15" x14ac:dyDescent="0.3">
      <c r="A16">
        <v>1015</v>
      </c>
      <c r="B16" t="s">
        <v>47</v>
      </c>
      <c r="C16" t="s">
        <v>14</v>
      </c>
      <c r="D16" t="s">
        <v>35</v>
      </c>
      <c r="E16" t="s">
        <v>48</v>
      </c>
      <c r="F16" t="s">
        <v>23</v>
      </c>
      <c r="G16">
        <v>4</v>
      </c>
      <c r="H16">
        <v>313</v>
      </c>
      <c r="I16">
        <v>1252</v>
      </c>
      <c r="J16">
        <v>989</v>
      </c>
      <c r="K16">
        <v>263</v>
      </c>
      <c r="L16" t="s">
        <v>18</v>
      </c>
      <c r="M16" t="s">
        <v>19</v>
      </c>
      <c r="N16" t="str">
        <f>IF(SalesTbl[[#This Row],[Profit]]&gt;180,"High Profit","Low Profit")</f>
        <v>High Profit</v>
      </c>
      <c r="O16" t="str">
        <f>TEXT(SalesTbl[[#This Row],[Date]],"mmm")</f>
        <v>May</v>
      </c>
    </row>
    <row r="17" spans="1:15" x14ac:dyDescent="0.3">
      <c r="A17">
        <v>1016</v>
      </c>
      <c r="B17" t="s">
        <v>49</v>
      </c>
      <c r="C17" t="s">
        <v>31</v>
      </c>
      <c r="D17" t="s">
        <v>15</v>
      </c>
      <c r="E17" t="s">
        <v>48</v>
      </c>
      <c r="F17" t="s">
        <v>23</v>
      </c>
      <c r="G17">
        <v>3</v>
      </c>
      <c r="H17">
        <v>242</v>
      </c>
      <c r="I17">
        <v>726</v>
      </c>
      <c r="J17">
        <v>486</v>
      </c>
      <c r="K17">
        <v>240</v>
      </c>
      <c r="L17" t="s">
        <v>38</v>
      </c>
      <c r="M17" t="s">
        <v>29</v>
      </c>
      <c r="N17" t="str">
        <f>IF(SalesTbl[[#This Row],[Profit]]&gt;180,"High Profit","Low Profit")</f>
        <v>High Profit</v>
      </c>
      <c r="O17" t="str">
        <f>TEXT(SalesTbl[[#This Row],[Date]],"mmm")</f>
        <v>Jan</v>
      </c>
    </row>
    <row r="18" spans="1:15" x14ac:dyDescent="0.3">
      <c r="A18">
        <v>1192</v>
      </c>
      <c r="B18" t="s">
        <v>153</v>
      </c>
      <c r="C18" t="s">
        <v>40</v>
      </c>
      <c r="D18" t="s">
        <v>35</v>
      </c>
      <c r="E18" t="s">
        <v>41</v>
      </c>
      <c r="F18" t="s">
        <v>17</v>
      </c>
      <c r="G18">
        <v>9</v>
      </c>
      <c r="H18">
        <v>875</v>
      </c>
      <c r="I18">
        <v>7875</v>
      </c>
      <c r="J18">
        <v>4882</v>
      </c>
      <c r="K18">
        <v>2993</v>
      </c>
      <c r="L18" t="s">
        <v>18</v>
      </c>
      <c r="M18" t="s">
        <v>29</v>
      </c>
      <c r="N18" t="str">
        <f>IF(SalesTbl[[#This Row],[Profit]]&gt;180,"High Profit","Low Profit")</f>
        <v>High Profit</v>
      </c>
      <c r="O18" t="str">
        <f>TEXT(SalesTbl[[#This Row],[Date]],"mmm")</f>
        <v>Mar</v>
      </c>
    </row>
    <row r="19" spans="1:15" x14ac:dyDescent="0.3">
      <c r="A19">
        <v>1018</v>
      </c>
      <c r="B19" t="s">
        <v>30</v>
      </c>
      <c r="C19" t="s">
        <v>21</v>
      </c>
      <c r="D19" t="s">
        <v>32</v>
      </c>
      <c r="E19" t="s">
        <v>22</v>
      </c>
      <c r="F19" t="s">
        <v>23</v>
      </c>
      <c r="G19">
        <v>5</v>
      </c>
      <c r="H19">
        <v>300</v>
      </c>
      <c r="I19">
        <v>1500</v>
      </c>
      <c r="J19">
        <v>1185</v>
      </c>
      <c r="K19">
        <v>315</v>
      </c>
      <c r="L19" t="s">
        <v>28</v>
      </c>
      <c r="M19" t="s">
        <v>29</v>
      </c>
      <c r="N19" t="str">
        <f>IF(SalesTbl[[#This Row],[Profit]]&gt;180,"High Profit","Low Profit")</f>
        <v>High Profit</v>
      </c>
      <c r="O19" t="str">
        <f>TEXT(SalesTbl[[#This Row],[Date]],"mmm")</f>
        <v>Feb</v>
      </c>
    </row>
    <row r="20" spans="1:15" x14ac:dyDescent="0.3">
      <c r="A20">
        <v>1019</v>
      </c>
      <c r="B20" t="s">
        <v>51</v>
      </c>
      <c r="C20" t="s">
        <v>21</v>
      </c>
      <c r="D20" t="s">
        <v>26</v>
      </c>
      <c r="E20" t="s">
        <v>41</v>
      </c>
      <c r="F20" t="s">
        <v>17</v>
      </c>
      <c r="G20">
        <v>4</v>
      </c>
      <c r="H20">
        <v>829</v>
      </c>
      <c r="I20">
        <v>3316</v>
      </c>
      <c r="J20">
        <v>2586</v>
      </c>
      <c r="K20">
        <v>730</v>
      </c>
      <c r="L20" t="s">
        <v>38</v>
      </c>
      <c r="M20" t="s">
        <v>29</v>
      </c>
      <c r="N20" t="str">
        <f>IF(SalesTbl[[#This Row],[Profit]]&gt;180,"High Profit","Low Profit")</f>
        <v>High Profit</v>
      </c>
      <c r="O20" t="str">
        <f>TEXT(SalesTbl[[#This Row],[Date]],"mmm")</f>
        <v>May</v>
      </c>
    </row>
    <row r="21" spans="1:15" x14ac:dyDescent="0.3">
      <c r="A21">
        <v>1020</v>
      </c>
      <c r="B21" t="s">
        <v>52</v>
      </c>
      <c r="C21" t="s">
        <v>14</v>
      </c>
      <c r="D21" t="s">
        <v>35</v>
      </c>
      <c r="E21" t="s">
        <v>27</v>
      </c>
      <c r="F21" t="s">
        <v>17</v>
      </c>
      <c r="G21">
        <v>3</v>
      </c>
      <c r="H21">
        <v>495</v>
      </c>
      <c r="I21">
        <v>1485</v>
      </c>
      <c r="J21">
        <v>1098</v>
      </c>
      <c r="K21">
        <v>387</v>
      </c>
      <c r="L21" t="s">
        <v>24</v>
      </c>
      <c r="M21" t="s">
        <v>19</v>
      </c>
      <c r="N21" t="str">
        <f>IF(SalesTbl[[#This Row],[Profit]]&gt;180,"High Profit","Low Profit")</f>
        <v>High Profit</v>
      </c>
      <c r="O21" t="str">
        <f>TEXT(SalesTbl[[#This Row],[Date]],"mmm")</f>
        <v>Mar</v>
      </c>
    </row>
    <row r="22" spans="1:15" x14ac:dyDescent="0.3">
      <c r="A22">
        <v>1244</v>
      </c>
      <c r="B22" t="s">
        <v>47</v>
      </c>
      <c r="C22" t="s">
        <v>40</v>
      </c>
      <c r="D22" t="s">
        <v>35</v>
      </c>
      <c r="E22" t="s">
        <v>54</v>
      </c>
      <c r="F22" t="s">
        <v>17</v>
      </c>
      <c r="G22">
        <v>9</v>
      </c>
      <c r="H22">
        <v>831</v>
      </c>
      <c r="I22">
        <v>7479</v>
      </c>
      <c r="J22">
        <v>4562</v>
      </c>
      <c r="K22">
        <v>2917</v>
      </c>
      <c r="L22" t="s">
        <v>24</v>
      </c>
      <c r="M22" t="s">
        <v>29</v>
      </c>
      <c r="N22" t="str">
        <f>IF(SalesTbl[[#This Row],[Profit]]&gt;180,"High Profit","Low Profit")</f>
        <v>High Profit</v>
      </c>
      <c r="O22" t="str">
        <f>TEXT(SalesTbl[[#This Row],[Date]],"mmm")</f>
        <v>May</v>
      </c>
    </row>
    <row r="23" spans="1:15" x14ac:dyDescent="0.3">
      <c r="A23">
        <v>1813</v>
      </c>
      <c r="B23" t="s">
        <v>200</v>
      </c>
      <c r="C23" t="s">
        <v>40</v>
      </c>
      <c r="D23" t="s">
        <v>32</v>
      </c>
      <c r="E23" t="s">
        <v>16</v>
      </c>
      <c r="F23" t="s">
        <v>17</v>
      </c>
      <c r="G23">
        <v>10</v>
      </c>
      <c r="H23">
        <v>732</v>
      </c>
      <c r="I23">
        <v>7320</v>
      </c>
      <c r="J23">
        <v>4538</v>
      </c>
      <c r="K23">
        <v>2782</v>
      </c>
      <c r="L23" t="s">
        <v>24</v>
      </c>
      <c r="M23" t="s">
        <v>29</v>
      </c>
      <c r="N23" t="str">
        <f>IF(SalesTbl[[#This Row],[Profit]]&gt;180,"High Profit","Low Profit")</f>
        <v>High Profit</v>
      </c>
      <c r="O23" t="str">
        <f>TEXT(SalesTbl[[#This Row],[Date]],"mmm")</f>
        <v>Mar</v>
      </c>
    </row>
    <row r="24" spans="1:15" x14ac:dyDescent="0.3">
      <c r="A24">
        <v>1023</v>
      </c>
      <c r="B24" t="s">
        <v>56</v>
      </c>
      <c r="C24" t="s">
        <v>21</v>
      </c>
      <c r="D24" t="s">
        <v>26</v>
      </c>
      <c r="E24" t="s">
        <v>41</v>
      </c>
      <c r="F24" t="s">
        <v>17</v>
      </c>
      <c r="G24">
        <v>4</v>
      </c>
      <c r="H24">
        <v>330</v>
      </c>
      <c r="I24">
        <v>1320</v>
      </c>
      <c r="J24">
        <v>910</v>
      </c>
      <c r="K24">
        <v>410</v>
      </c>
      <c r="L24" t="s">
        <v>18</v>
      </c>
      <c r="M24" t="s">
        <v>29</v>
      </c>
      <c r="N24" t="str">
        <f>IF(SalesTbl[[#This Row],[Profit]]&gt;180,"High Profit","Low Profit")</f>
        <v>High Profit</v>
      </c>
      <c r="O24" t="str">
        <f>TEXT(SalesTbl[[#This Row],[Date]],"mmm")</f>
        <v>Jan</v>
      </c>
    </row>
    <row r="25" spans="1:15" x14ac:dyDescent="0.3">
      <c r="A25">
        <v>1024</v>
      </c>
      <c r="B25" t="s">
        <v>57</v>
      </c>
      <c r="C25" t="s">
        <v>31</v>
      </c>
      <c r="D25" t="s">
        <v>15</v>
      </c>
      <c r="E25" t="s">
        <v>54</v>
      </c>
      <c r="F25" t="s">
        <v>17</v>
      </c>
      <c r="G25">
        <v>9</v>
      </c>
      <c r="H25">
        <v>986</v>
      </c>
      <c r="I25">
        <v>8874</v>
      </c>
      <c r="J25">
        <v>5768</v>
      </c>
      <c r="K25">
        <v>3106</v>
      </c>
      <c r="L25" t="s">
        <v>28</v>
      </c>
      <c r="M25" t="s">
        <v>29</v>
      </c>
      <c r="N25" t="str">
        <f>IF(SalesTbl[[#This Row],[Profit]]&gt;180,"High Profit","Low Profit")</f>
        <v>High Profit</v>
      </c>
      <c r="O25" t="str">
        <f>TEXT(SalesTbl[[#This Row],[Date]],"mmm")</f>
        <v>Apr</v>
      </c>
    </row>
    <row r="26" spans="1:15" x14ac:dyDescent="0.3">
      <c r="A26">
        <v>1025</v>
      </c>
      <c r="B26" t="s">
        <v>58</v>
      </c>
      <c r="C26" t="s">
        <v>21</v>
      </c>
      <c r="D26" t="s">
        <v>15</v>
      </c>
      <c r="E26" t="s">
        <v>54</v>
      </c>
      <c r="F26" t="s">
        <v>17</v>
      </c>
      <c r="G26">
        <v>9</v>
      </c>
      <c r="H26">
        <v>783</v>
      </c>
      <c r="I26">
        <v>7047</v>
      </c>
      <c r="J26">
        <v>4580</v>
      </c>
      <c r="K26">
        <v>2467</v>
      </c>
      <c r="L26" t="s">
        <v>38</v>
      </c>
      <c r="M26" t="s">
        <v>29</v>
      </c>
      <c r="N26" t="str">
        <f>IF(SalesTbl[[#This Row],[Profit]]&gt;180,"High Profit","Low Profit")</f>
        <v>High Profit</v>
      </c>
      <c r="O26" t="str">
        <f>TEXT(SalesTbl[[#This Row],[Date]],"mmm")</f>
        <v>Feb</v>
      </c>
    </row>
    <row r="27" spans="1:15" x14ac:dyDescent="0.3">
      <c r="A27">
        <v>1613</v>
      </c>
      <c r="B27" t="s">
        <v>210</v>
      </c>
      <c r="C27" t="s">
        <v>40</v>
      </c>
      <c r="D27" t="s">
        <v>32</v>
      </c>
      <c r="E27" t="s">
        <v>27</v>
      </c>
      <c r="F27" t="s">
        <v>17</v>
      </c>
      <c r="G27">
        <v>9</v>
      </c>
      <c r="H27">
        <v>746</v>
      </c>
      <c r="I27">
        <v>6714</v>
      </c>
      <c r="J27">
        <v>4028</v>
      </c>
      <c r="K27">
        <v>2686</v>
      </c>
      <c r="L27" t="s">
        <v>38</v>
      </c>
      <c r="M27" t="s">
        <v>29</v>
      </c>
      <c r="N27" t="str">
        <f>IF(SalesTbl[[#This Row],[Profit]]&gt;180,"High Profit","Low Profit")</f>
        <v>High Profit</v>
      </c>
      <c r="O27" t="str">
        <f>TEXT(SalesTbl[[#This Row],[Date]],"mmm")</f>
        <v>Apr</v>
      </c>
    </row>
    <row r="28" spans="1:15" x14ac:dyDescent="0.3">
      <c r="A28">
        <v>1027</v>
      </c>
      <c r="B28" t="s">
        <v>59</v>
      </c>
      <c r="C28" t="s">
        <v>40</v>
      </c>
      <c r="D28" t="s">
        <v>35</v>
      </c>
      <c r="E28" t="s">
        <v>48</v>
      </c>
      <c r="F28" t="s">
        <v>23</v>
      </c>
      <c r="G28">
        <v>8</v>
      </c>
      <c r="H28">
        <v>377</v>
      </c>
      <c r="I28">
        <v>3016</v>
      </c>
      <c r="J28">
        <v>1960</v>
      </c>
      <c r="K28">
        <v>1056</v>
      </c>
      <c r="L28" t="s">
        <v>24</v>
      </c>
      <c r="M28" t="s">
        <v>19</v>
      </c>
      <c r="N28" t="str">
        <f>IF(SalesTbl[[#This Row],[Profit]]&gt;180,"High Profit","Low Profit")</f>
        <v>High Profit</v>
      </c>
      <c r="O28" t="str">
        <f>TEXT(SalesTbl[[#This Row],[Date]],"mmm")</f>
        <v>Jun</v>
      </c>
    </row>
    <row r="29" spans="1:15" x14ac:dyDescent="0.3">
      <c r="A29">
        <v>1028</v>
      </c>
      <c r="B29" t="s">
        <v>60</v>
      </c>
      <c r="C29" t="s">
        <v>14</v>
      </c>
      <c r="D29" t="s">
        <v>15</v>
      </c>
      <c r="E29" t="s">
        <v>16</v>
      </c>
      <c r="F29" t="s">
        <v>17</v>
      </c>
      <c r="G29">
        <v>10</v>
      </c>
      <c r="H29">
        <v>786</v>
      </c>
      <c r="I29">
        <v>7860</v>
      </c>
      <c r="J29">
        <v>6130</v>
      </c>
      <c r="K29">
        <v>1730</v>
      </c>
      <c r="L29" t="s">
        <v>33</v>
      </c>
      <c r="M29" t="s">
        <v>19</v>
      </c>
      <c r="N29" t="str">
        <f>IF(SalesTbl[[#This Row],[Profit]]&gt;180,"High Profit","Low Profit")</f>
        <v>High Profit</v>
      </c>
      <c r="O29" t="str">
        <f>TEXT(SalesTbl[[#This Row],[Date]],"mmm")</f>
        <v>Jan</v>
      </c>
    </row>
    <row r="30" spans="1:15" x14ac:dyDescent="0.3">
      <c r="A30">
        <v>1029</v>
      </c>
      <c r="B30" t="s">
        <v>61</v>
      </c>
      <c r="C30" t="s">
        <v>21</v>
      </c>
      <c r="D30" t="s">
        <v>35</v>
      </c>
      <c r="E30" t="s">
        <v>41</v>
      </c>
      <c r="F30" t="s">
        <v>17</v>
      </c>
      <c r="G30">
        <v>6</v>
      </c>
      <c r="H30">
        <v>235</v>
      </c>
      <c r="I30">
        <v>1410</v>
      </c>
      <c r="J30">
        <v>958</v>
      </c>
      <c r="K30">
        <v>452</v>
      </c>
      <c r="L30" t="s">
        <v>38</v>
      </c>
      <c r="M30" t="s">
        <v>29</v>
      </c>
      <c r="N30" t="str">
        <f>IF(SalesTbl[[#This Row],[Profit]]&gt;180,"High Profit","Low Profit")</f>
        <v>High Profit</v>
      </c>
      <c r="O30" t="str">
        <f>TEXT(SalesTbl[[#This Row],[Date]],"mmm")</f>
        <v>Jun</v>
      </c>
    </row>
    <row r="31" spans="1:15" x14ac:dyDescent="0.3">
      <c r="A31">
        <v>1030</v>
      </c>
      <c r="B31" t="s">
        <v>62</v>
      </c>
      <c r="C31" t="s">
        <v>21</v>
      </c>
      <c r="D31" t="s">
        <v>15</v>
      </c>
      <c r="E31" t="s">
        <v>27</v>
      </c>
      <c r="F31" t="s">
        <v>17</v>
      </c>
      <c r="G31">
        <v>6</v>
      </c>
      <c r="H31">
        <v>336</v>
      </c>
      <c r="I31">
        <v>2016</v>
      </c>
      <c r="J31">
        <v>1471</v>
      </c>
      <c r="K31">
        <v>545</v>
      </c>
      <c r="L31" t="s">
        <v>18</v>
      </c>
      <c r="M31" t="s">
        <v>29</v>
      </c>
      <c r="N31" t="str">
        <f>IF(SalesTbl[[#This Row],[Profit]]&gt;180,"High Profit","Low Profit")</f>
        <v>High Profit</v>
      </c>
      <c r="O31" t="str">
        <f>TEXT(SalesTbl[[#This Row],[Date]],"mmm")</f>
        <v>May</v>
      </c>
    </row>
    <row r="32" spans="1:15" x14ac:dyDescent="0.3">
      <c r="A32">
        <v>1031</v>
      </c>
      <c r="B32" t="s">
        <v>55</v>
      </c>
      <c r="C32" t="s">
        <v>14</v>
      </c>
      <c r="D32" t="s">
        <v>32</v>
      </c>
      <c r="E32" t="s">
        <v>54</v>
      </c>
      <c r="F32" t="s">
        <v>17</v>
      </c>
      <c r="G32">
        <v>5</v>
      </c>
      <c r="H32">
        <v>908</v>
      </c>
      <c r="I32">
        <v>4540</v>
      </c>
      <c r="J32">
        <v>3314</v>
      </c>
      <c r="K32">
        <v>1226</v>
      </c>
      <c r="L32" t="s">
        <v>24</v>
      </c>
      <c r="M32" t="s">
        <v>19</v>
      </c>
      <c r="N32" t="str">
        <f>IF(SalesTbl[[#This Row],[Profit]]&gt;180,"High Profit","Low Profit")</f>
        <v>High Profit</v>
      </c>
      <c r="O32" t="str">
        <f>TEXT(SalesTbl[[#This Row],[Date]],"mmm")</f>
        <v>Feb</v>
      </c>
    </row>
    <row r="33" spans="1:15" x14ac:dyDescent="0.3">
      <c r="A33">
        <v>1032</v>
      </c>
      <c r="B33" t="s">
        <v>63</v>
      </c>
      <c r="C33" t="s">
        <v>14</v>
      </c>
      <c r="D33" t="s">
        <v>35</v>
      </c>
      <c r="E33" t="s">
        <v>41</v>
      </c>
      <c r="F33" t="s">
        <v>17</v>
      </c>
      <c r="G33">
        <v>8</v>
      </c>
      <c r="H33">
        <v>834</v>
      </c>
      <c r="I33">
        <v>6672</v>
      </c>
      <c r="J33">
        <v>4670</v>
      </c>
      <c r="K33">
        <v>2002</v>
      </c>
      <c r="L33" t="s">
        <v>28</v>
      </c>
      <c r="M33" t="s">
        <v>19</v>
      </c>
      <c r="N33" t="str">
        <f>IF(SalesTbl[[#This Row],[Profit]]&gt;180,"High Profit","Low Profit")</f>
        <v>High Profit</v>
      </c>
      <c r="O33" t="str">
        <f>TEXT(SalesTbl[[#This Row],[Date]],"mmm")</f>
        <v>Jan</v>
      </c>
    </row>
    <row r="34" spans="1:15" x14ac:dyDescent="0.3">
      <c r="A34">
        <v>1033</v>
      </c>
      <c r="B34" t="s">
        <v>64</v>
      </c>
      <c r="C34" t="s">
        <v>21</v>
      </c>
      <c r="D34" t="s">
        <v>32</v>
      </c>
      <c r="E34" t="s">
        <v>22</v>
      </c>
      <c r="F34" t="s">
        <v>23</v>
      </c>
      <c r="G34">
        <v>5</v>
      </c>
      <c r="H34">
        <v>105</v>
      </c>
      <c r="I34">
        <v>525</v>
      </c>
      <c r="J34">
        <v>383</v>
      </c>
      <c r="K34">
        <v>142</v>
      </c>
      <c r="L34" t="s">
        <v>18</v>
      </c>
      <c r="M34" t="s">
        <v>29</v>
      </c>
      <c r="N34" t="str">
        <f>IF(SalesTbl[[#This Row],[Profit]]&gt;180,"High Profit","Low Profit")</f>
        <v>Low Profit</v>
      </c>
      <c r="O34" t="str">
        <f>TEXT(SalesTbl[[#This Row],[Date]],"mmm")</f>
        <v>Jan</v>
      </c>
    </row>
    <row r="35" spans="1:15" x14ac:dyDescent="0.3">
      <c r="A35">
        <v>1914</v>
      </c>
      <c r="B35" t="s">
        <v>173</v>
      </c>
      <c r="C35" t="s">
        <v>40</v>
      </c>
      <c r="D35" t="s">
        <v>15</v>
      </c>
      <c r="E35" t="s">
        <v>54</v>
      </c>
      <c r="F35" t="s">
        <v>17</v>
      </c>
      <c r="G35">
        <v>8</v>
      </c>
      <c r="H35">
        <v>968</v>
      </c>
      <c r="I35">
        <v>7744</v>
      </c>
      <c r="J35">
        <v>5343</v>
      </c>
      <c r="K35">
        <v>2401</v>
      </c>
      <c r="L35" t="s">
        <v>38</v>
      </c>
      <c r="M35" t="s">
        <v>29</v>
      </c>
      <c r="N35" t="str">
        <f>IF(SalesTbl[[#This Row],[Profit]]&gt;180,"High Profit","Low Profit")</f>
        <v>High Profit</v>
      </c>
      <c r="O35" t="str">
        <f>TEXT(SalesTbl[[#This Row],[Date]],"mmm")</f>
        <v>Feb</v>
      </c>
    </row>
    <row r="36" spans="1:15" x14ac:dyDescent="0.3">
      <c r="A36">
        <v>1035</v>
      </c>
      <c r="B36" t="s">
        <v>66</v>
      </c>
      <c r="C36" t="s">
        <v>40</v>
      </c>
      <c r="D36" t="s">
        <v>32</v>
      </c>
      <c r="E36" t="s">
        <v>48</v>
      </c>
      <c r="F36" t="s">
        <v>23</v>
      </c>
      <c r="G36">
        <v>7</v>
      </c>
      <c r="H36">
        <v>908</v>
      </c>
      <c r="I36">
        <v>6356</v>
      </c>
      <c r="J36">
        <v>4322</v>
      </c>
      <c r="K36">
        <v>2034</v>
      </c>
      <c r="L36" t="s">
        <v>38</v>
      </c>
      <c r="M36" t="s">
        <v>19</v>
      </c>
      <c r="N36" t="str">
        <f>IF(SalesTbl[[#This Row],[Profit]]&gt;180,"High Profit","Low Profit")</f>
        <v>High Profit</v>
      </c>
      <c r="O36" t="str">
        <f>TEXT(SalesTbl[[#This Row],[Date]],"mmm")</f>
        <v>Apr</v>
      </c>
    </row>
    <row r="37" spans="1:15" x14ac:dyDescent="0.3">
      <c r="A37">
        <v>1036</v>
      </c>
      <c r="B37" t="s">
        <v>67</v>
      </c>
      <c r="C37" t="s">
        <v>14</v>
      </c>
      <c r="D37" t="s">
        <v>26</v>
      </c>
      <c r="E37" t="s">
        <v>41</v>
      </c>
      <c r="F37" t="s">
        <v>17</v>
      </c>
      <c r="G37">
        <v>7</v>
      </c>
      <c r="H37">
        <v>144</v>
      </c>
      <c r="I37">
        <v>1008</v>
      </c>
      <c r="J37">
        <v>665</v>
      </c>
      <c r="K37">
        <v>343</v>
      </c>
      <c r="L37" t="s">
        <v>28</v>
      </c>
      <c r="M37" t="s">
        <v>29</v>
      </c>
      <c r="N37" t="str">
        <f>IF(SalesTbl[[#This Row],[Profit]]&gt;180,"High Profit","Low Profit")</f>
        <v>High Profit</v>
      </c>
      <c r="O37" t="str">
        <f>TEXT(SalesTbl[[#This Row],[Date]],"mmm")</f>
        <v>Mar</v>
      </c>
    </row>
    <row r="38" spans="1:15" x14ac:dyDescent="0.3">
      <c r="A38">
        <v>1999</v>
      </c>
      <c r="B38" t="s">
        <v>88</v>
      </c>
      <c r="C38" t="s">
        <v>40</v>
      </c>
      <c r="D38" t="s">
        <v>35</v>
      </c>
      <c r="E38" t="s">
        <v>27</v>
      </c>
      <c r="F38" t="s">
        <v>17</v>
      </c>
      <c r="G38">
        <v>7</v>
      </c>
      <c r="H38">
        <v>945</v>
      </c>
      <c r="I38">
        <v>6615</v>
      </c>
      <c r="J38">
        <v>4365</v>
      </c>
      <c r="K38">
        <v>2250</v>
      </c>
      <c r="L38" t="s">
        <v>24</v>
      </c>
      <c r="M38" t="s">
        <v>29</v>
      </c>
      <c r="N38" t="str">
        <f>IF(SalesTbl[[#This Row],[Profit]]&gt;180,"High Profit","Low Profit")</f>
        <v>High Profit</v>
      </c>
      <c r="O38" t="str">
        <f>TEXT(SalesTbl[[#This Row],[Date]],"mmm")</f>
        <v>Feb</v>
      </c>
    </row>
    <row r="39" spans="1:15" x14ac:dyDescent="0.3">
      <c r="A39">
        <v>1038</v>
      </c>
      <c r="B39" t="s">
        <v>69</v>
      </c>
      <c r="C39" t="s">
        <v>21</v>
      </c>
      <c r="D39" t="s">
        <v>35</v>
      </c>
      <c r="E39" t="s">
        <v>54</v>
      </c>
      <c r="F39" t="s">
        <v>17</v>
      </c>
      <c r="G39">
        <v>6</v>
      </c>
      <c r="H39">
        <v>239</v>
      </c>
      <c r="I39">
        <v>1434</v>
      </c>
      <c r="J39">
        <v>874</v>
      </c>
      <c r="K39">
        <v>560</v>
      </c>
      <c r="L39" t="s">
        <v>24</v>
      </c>
      <c r="M39" t="s">
        <v>19</v>
      </c>
      <c r="N39" t="str">
        <f>IF(SalesTbl[[#This Row],[Profit]]&gt;180,"High Profit","Low Profit")</f>
        <v>High Profit</v>
      </c>
      <c r="O39" t="str">
        <f>TEXT(SalesTbl[[#This Row],[Date]],"mmm")</f>
        <v>May</v>
      </c>
    </row>
    <row r="40" spans="1:15" x14ac:dyDescent="0.3">
      <c r="A40">
        <v>1039</v>
      </c>
      <c r="B40" t="s">
        <v>70</v>
      </c>
      <c r="C40" t="s">
        <v>21</v>
      </c>
      <c r="D40" t="s">
        <v>26</v>
      </c>
      <c r="E40" t="s">
        <v>54</v>
      </c>
      <c r="F40" t="s">
        <v>17</v>
      </c>
      <c r="G40">
        <v>3</v>
      </c>
      <c r="H40">
        <v>280</v>
      </c>
      <c r="I40">
        <v>840</v>
      </c>
      <c r="J40">
        <v>571</v>
      </c>
      <c r="K40">
        <v>269</v>
      </c>
      <c r="L40" t="s">
        <v>28</v>
      </c>
      <c r="M40" t="s">
        <v>29</v>
      </c>
      <c r="N40" t="str">
        <f>IF(SalesTbl[[#This Row],[Profit]]&gt;180,"High Profit","Low Profit")</f>
        <v>High Profit</v>
      </c>
      <c r="O40" t="str">
        <f>TEXT(SalesTbl[[#This Row],[Date]],"mmm")</f>
        <v>Mar</v>
      </c>
    </row>
    <row r="41" spans="1:15" x14ac:dyDescent="0.3">
      <c r="A41">
        <v>1040</v>
      </c>
      <c r="B41" t="s">
        <v>59</v>
      </c>
      <c r="C41" t="s">
        <v>21</v>
      </c>
      <c r="D41" t="s">
        <v>32</v>
      </c>
      <c r="E41" t="s">
        <v>16</v>
      </c>
      <c r="F41" t="s">
        <v>17</v>
      </c>
      <c r="G41">
        <v>5</v>
      </c>
      <c r="H41">
        <v>259</v>
      </c>
      <c r="I41">
        <v>1295</v>
      </c>
      <c r="J41">
        <v>867</v>
      </c>
      <c r="K41">
        <v>428</v>
      </c>
      <c r="L41" t="s">
        <v>28</v>
      </c>
      <c r="M41" t="s">
        <v>29</v>
      </c>
      <c r="N41" t="str">
        <f>IF(SalesTbl[[#This Row],[Profit]]&gt;180,"High Profit","Low Profit")</f>
        <v>High Profit</v>
      </c>
      <c r="O41" t="str">
        <f>TEXT(SalesTbl[[#This Row],[Date]],"mmm")</f>
        <v>Jun</v>
      </c>
    </row>
    <row r="42" spans="1:15" x14ac:dyDescent="0.3">
      <c r="A42">
        <v>1041</v>
      </c>
      <c r="B42" t="s">
        <v>71</v>
      </c>
      <c r="C42" t="s">
        <v>40</v>
      </c>
      <c r="D42" t="s">
        <v>32</v>
      </c>
      <c r="E42" t="s">
        <v>22</v>
      </c>
      <c r="F42" t="s">
        <v>23</v>
      </c>
      <c r="G42">
        <v>5</v>
      </c>
      <c r="H42">
        <v>837</v>
      </c>
      <c r="I42">
        <v>4185</v>
      </c>
      <c r="J42">
        <v>2636</v>
      </c>
      <c r="K42">
        <v>1549</v>
      </c>
      <c r="L42" t="s">
        <v>24</v>
      </c>
      <c r="M42" t="s">
        <v>29</v>
      </c>
      <c r="N42" t="str">
        <f>IF(SalesTbl[[#This Row],[Profit]]&gt;180,"High Profit","Low Profit")</f>
        <v>High Profit</v>
      </c>
      <c r="O42" t="str">
        <f>TEXT(SalesTbl[[#This Row],[Date]],"mmm")</f>
        <v>Apr</v>
      </c>
    </row>
    <row r="43" spans="1:15" x14ac:dyDescent="0.3">
      <c r="A43">
        <v>1042</v>
      </c>
      <c r="B43" t="s">
        <v>72</v>
      </c>
      <c r="C43" t="s">
        <v>31</v>
      </c>
      <c r="D43" t="s">
        <v>32</v>
      </c>
      <c r="E43" t="s">
        <v>27</v>
      </c>
      <c r="F43" t="s">
        <v>17</v>
      </c>
      <c r="G43">
        <v>3</v>
      </c>
      <c r="H43">
        <v>545</v>
      </c>
      <c r="I43">
        <v>1635</v>
      </c>
      <c r="J43">
        <v>1079</v>
      </c>
      <c r="K43">
        <v>556</v>
      </c>
      <c r="L43" t="s">
        <v>24</v>
      </c>
      <c r="M43" t="s">
        <v>29</v>
      </c>
      <c r="N43" t="str">
        <f>IF(SalesTbl[[#This Row],[Profit]]&gt;180,"High Profit","Low Profit")</f>
        <v>High Profit</v>
      </c>
      <c r="O43" t="str">
        <f>TEXT(SalesTbl[[#This Row],[Date]],"mmm")</f>
        <v>Mar</v>
      </c>
    </row>
    <row r="44" spans="1:15" x14ac:dyDescent="0.3">
      <c r="A44">
        <v>1043</v>
      </c>
      <c r="B44" t="s">
        <v>73</v>
      </c>
      <c r="C44" t="s">
        <v>21</v>
      </c>
      <c r="D44" t="s">
        <v>15</v>
      </c>
      <c r="E44" t="s">
        <v>16</v>
      </c>
      <c r="F44" t="s">
        <v>17</v>
      </c>
      <c r="G44">
        <v>4</v>
      </c>
      <c r="H44">
        <v>543</v>
      </c>
      <c r="I44">
        <v>2172</v>
      </c>
      <c r="J44">
        <v>1563</v>
      </c>
      <c r="K44">
        <v>609</v>
      </c>
      <c r="L44" t="s">
        <v>33</v>
      </c>
      <c r="M44" t="s">
        <v>29</v>
      </c>
      <c r="N44" t="str">
        <f>IF(SalesTbl[[#This Row],[Profit]]&gt;180,"High Profit","Low Profit")</f>
        <v>High Profit</v>
      </c>
      <c r="O44" t="str">
        <f>TEXT(SalesTbl[[#This Row],[Date]],"mmm")</f>
        <v>Jun</v>
      </c>
    </row>
    <row r="45" spans="1:15" x14ac:dyDescent="0.3">
      <c r="A45">
        <v>1044</v>
      </c>
      <c r="B45" t="s">
        <v>71</v>
      </c>
      <c r="C45" t="s">
        <v>31</v>
      </c>
      <c r="D45" t="s">
        <v>35</v>
      </c>
      <c r="E45" t="s">
        <v>48</v>
      </c>
      <c r="F45" t="s">
        <v>23</v>
      </c>
      <c r="G45">
        <v>7</v>
      </c>
      <c r="H45">
        <v>628</v>
      </c>
      <c r="I45">
        <v>4396</v>
      </c>
      <c r="J45">
        <v>3428</v>
      </c>
      <c r="K45">
        <v>968</v>
      </c>
      <c r="L45" t="s">
        <v>18</v>
      </c>
      <c r="M45" t="s">
        <v>29</v>
      </c>
      <c r="N45" t="str">
        <f>IF(SalesTbl[[#This Row],[Profit]]&gt;180,"High Profit","Low Profit")</f>
        <v>High Profit</v>
      </c>
      <c r="O45" t="str">
        <f>TEXT(SalesTbl[[#This Row],[Date]],"mmm")</f>
        <v>Apr</v>
      </c>
    </row>
    <row r="46" spans="1:15" x14ac:dyDescent="0.3">
      <c r="A46">
        <v>1119</v>
      </c>
      <c r="B46" t="s">
        <v>125</v>
      </c>
      <c r="C46" t="s">
        <v>40</v>
      </c>
      <c r="D46" t="s">
        <v>15</v>
      </c>
      <c r="E46" t="s">
        <v>16</v>
      </c>
      <c r="F46" t="s">
        <v>17</v>
      </c>
      <c r="G46">
        <v>10</v>
      </c>
      <c r="H46">
        <v>678</v>
      </c>
      <c r="I46">
        <v>6780</v>
      </c>
      <c r="J46">
        <v>4542</v>
      </c>
      <c r="K46">
        <v>2238</v>
      </c>
      <c r="L46" t="s">
        <v>33</v>
      </c>
      <c r="M46" t="s">
        <v>19</v>
      </c>
      <c r="N46" t="str">
        <f>IF(SalesTbl[[#This Row],[Profit]]&gt;180,"High Profit","Low Profit")</f>
        <v>High Profit</v>
      </c>
      <c r="O46" t="str">
        <f>TEXT(SalesTbl[[#This Row],[Date]],"mmm")</f>
        <v>Jun</v>
      </c>
    </row>
    <row r="47" spans="1:15" x14ac:dyDescent="0.3">
      <c r="A47">
        <v>1046</v>
      </c>
      <c r="B47" t="s">
        <v>75</v>
      </c>
      <c r="C47" t="s">
        <v>14</v>
      </c>
      <c r="D47" t="s">
        <v>26</v>
      </c>
      <c r="E47" t="s">
        <v>48</v>
      </c>
      <c r="F47" t="s">
        <v>23</v>
      </c>
      <c r="G47">
        <v>5</v>
      </c>
      <c r="H47">
        <v>293</v>
      </c>
      <c r="I47">
        <v>1465</v>
      </c>
      <c r="J47">
        <v>1025</v>
      </c>
      <c r="K47">
        <v>440</v>
      </c>
      <c r="L47" t="s">
        <v>33</v>
      </c>
      <c r="M47" t="s">
        <v>19</v>
      </c>
      <c r="N47" t="str">
        <f>IF(SalesTbl[[#This Row],[Profit]]&gt;180,"High Profit","Low Profit")</f>
        <v>High Profit</v>
      </c>
      <c r="O47" t="str">
        <f>TEXT(SalesTbl[[#This Row],[Date]],"mmm")</f>
        <v>Jun</v>
      </c>
    </row>
    <row r="48" spans="1:15" x14ac:dyDescent="0.3">
      <c r="A48">
        <v>1047</v>
      </c>
      <c r="B48" t="s">
        <v>76</v>
      </c>
      <c r="C48" t="s">
        <v>14</v>
      </c>
      <c r="D48" t="s">
        <v>26</v>
      </c>
      <c r="E48" t="s">
        <v>41</v>
      </c>
      <c r="F48" t="s">
        <v>17</v>
      </c>
      <c r="G48">
        <v>6</v>
      </c>
      <c r="H48">
        <v>553</v>
      </c>
      <c r="I48">
        <v>3318</v>
      </c>
      <c r="J48">
        <v>2023</v>
      </c>
      <c r="K48">
        <v>1295</v>
      </c>
      <c r="L48" t="s">
        <v>33</v>
      </c>
      <c r="M48" t="s">
        <v>29</v>
      </c>
      <c r="N48" t="str">
        <f>IF(SalesTbl[[#This Row],[Profit]]&gt;180,"High Profit","Low Profit")</f>
        <v>High Profit</v>
      </c>
      <c r="O48" t="str">
        <f>TEXT(SalesTbl[[#This Row],[Date]],"mmm")</f>
        <v>Jun</v>
      </c>
    </row>
    <row r="49" spans="1:15" x14ac:dyDescent="0.3">
      <c r="A49">
        <v>1048</v>
      </c>
      <c r="B49" t="s">
        <v>77</v>
      </c>
      <c r="C49" t="s">
        <v>31</v>
      </c>
      <c r="D49" t="s">
        <v>26</v>
      </c>
      <c r="E49" t="s">
        <v>48</v>
      </c>
      <c r="F49" t="s">
        <v>23</v>
      </c>
      <c r="G49">
        <v>8</v>
      </c>
      <c r="H49">
        <v>386</v>
      </c>
      <c r="I49">
        <v>3088</v>
      </c>
      <c r="J49">
        <v>2192</v>
      </c>
      <c r="K49">
        <v>896</v>
      </c>
      <c r="L49" t="s">
        <v>33</v>
      </c>
      <c r="M49" t="s">
        <v>29</v>
      </c>
      <c r="N49" t="str">
        <f>IF(SalesTbl[[#This Row],[Profit]]&gt;180,"High Profit","Low Profit")</f>
        <v>High Profit</v>
      </c>
      <c r="O49" t="str">
        <f>TEXT(SalesTbl[[#This Row],[Date]],"mmm")</f>
        <v>May</v>
      </c>
    </row>
    <row r="50" spans="1:15" x14ac:dyDescent="0.3">
      <c r="A50">
        <v>1049</v>
      </c>
      <c r="B50" t="s">
        <v>34</v>
      </c>
      <c r="C50" t="s">
        <v>31</v>
      </c>
      <c r="D50" t="s">
        <v>35</v>
      </c>
      <c r="E50" t="s">
        <v>16</v>
      </c>
      <c r="F50" t="s">
        <v>17</v>
      </c>
      <c r="G50">
        <v>1</v>
      </c>
      <c r="H50">
        <v>187</v>
      </c>
      <c r="I50">
        <v>187</v>
      </c>
      <c r="J50">
        <v>147</v>
      </c>
      <c r="K50">
        <v>40</v>
      </c>
      <c r="L50" t="s">
        <v>28</v>
      </c>
      <c r="M50" t="s">
        <v>29</v>
      </c>
      <c r="N50" t="str">
        <f>IF(SalesTbl[[#This Row],[Profit]]&gt;180,"High Profit","Low Profit")</f>
        <v>Low Profit</v>
      </c>
      <c r="O50" t="str">
        <f>TEXT(SalesTbl[[#This Row],[Date]],"mmm")</f>
        <v>Mar</v>
      </c>
    </row>
    <row r="51" spans="1:15" x14ac:dyDescent="0.3">
      <c r="A51">
        <v>1017</v>
      </c>
      <c r="B51" t="s">
        <v>50</v>
      </c>
      <c r="C51" t="s">
        <v>40</v>
      </c>
      <c r="D51" t="s">
        <v>26</v>
      </c>
      <c r="E51" t="s">
        <v>41</v>
      </c>
      <c r="F51" t="s">
        <v>17</v>
      </c>
      <c r="G51">
        <v>9</v>
      </c>
      <c r="H51">
        <v>641</v>
      </c>
      <c r="I51">
        <v>5769</v>
      </c>
      <c r="J51">
        <v>3576</v>
      </c>
      <c r="K51">
        <v>2193</v>
      </c>
      <c r="L51" t="s">
        <v>18</v>
      </c>
      <c r="M51" t="s">
        <v>19</v>
      </c>
      <c r="N51" t="str">
        <f>IF(SalesTbl[[#This Row],[Profit]]&gt;180,"High Profit","Low Profit")</f>
        <v>High Profit</v>
      </c>
      <c r="O51" t="str">
        <f>TEXT(SalesTbl[[#This Row],[Date]],"mmm")</f>
        <v>Jun</v>
      </c>
    </row>
    <row r="52" spans="1:15" x14ac:dyDescent="0.3">
      <c r="A52">
        <v>1051</v>
      </c>
      <c r="B52" t="s">
        <v>79</v>
      </c>
      <c r="C52" t="s">
        <v>31</v>
      </c>
      <c r="D52" t="s">
        <v>26</v>
      </c>
      <c r="E52" t="s">
        <v>48</v>
      </c>
      <c r="F52" t="s">
        <v>23</v>
      </c>
      <c r="G52">
        <v>4</v>
      </c>
      <c r="H52">
        <v>849</v>
      </c>
      <c r="I52">
        <v>3396</v>
      </c>
      <c r="J52">
        <v>2207</v>
      </c>
      <c r="K52">
        <v>1189</v>
      </c>
      <c r="L52" t="s">
        <v>24</v>
      </c>
      <c r="M52" t="s">
        <v>19</v>
      </c>
      <c r="N52" t="str">
        <f>IF(SalesTbl[[#This Row],[Profit]]&gt;180,"High Profit","Low Profit")</f>
        <v>High Profit</v>
      </c>
      <c r="O52" t="str">
        <f>TEXT(SalesTbl[[#This Row],[Date]],"mmm")</f>
        <v>May</v>
      </c>
    </row>
    <row r="53" spans="1:15" x14ac:dyDescent="0.3">
      <c r="A53">
        <v>1052</v>
      </c>
      <c r="B53" t="s">
        <v>51</v>
      </c>
      <c r="C53" t="s">
        <v>31</v>
      </c>
      <c r="D53" t="s">
        <v>15</v>
      </c>
      <c r="E53" t="s">
        <v>48</v>
      </c>
      <c r="F53" t="s">
        <v>23</v>
      </c>
      <c r="G53">
        <v>9</v>
      </c>
      <c r="H53">
        <v>729</v>
      </c>
      <c r="I53">
        <v>6561</v>
      </c>
      <c r="J53">
        <v>4330</v>
      </c>
      <c r="K53">
        <v>2231</v>
      </c>
      <c r="L53" t="s">
        <v>38</v>
      </c>
      <c r="M53" t="s">
        <v>19</v>
      </c>
      <c r="N53" t="str">
        <f>IF(SalesTbl[[#This Row],[Profit]]&gt;180,"High Profit","Low Profit")</f>
        <v>High Profit</v>
      </c>
      <c r="O53" t="str">
        <f>TEXT(SalesTbl[[#This Row],[Date]],"mmm")</f>
        <v>May</v>
      </c>
    </row>
    <row r="54" spans="1:15" x14ac:dyDescent="0.3">
      <c r="A54">
        <v>1053</v>
      </c>
      <c r="B54" t="s">
        <v>80</v>
      </c>
      <c r="C54" t="s">
        <v>40</v>
      </c>
      <c r="D54" t="s">
        <v>26</v>
      </c>
      <c r="E54" t="s">
        <v>48</v>
      </c>
      <c r="F54" t="s">
        <v>23</v>
      </c>
      <c r="G54">
        <v>2</v>
      </c>
      <c r="H54">
        <v>510</v>
      </c>
      <c r="I54">
        <v>1020</v>
      </c>
      <c r="J54">
        <v>754</v>
      </c>
      <c r="K54">
        <v>266</v>
      </c>
      <c r="L54" t="s">
        <v>33</v>
      </c>
      <c r="M54" t="s">
        <v>29</v>
      </c>
      <c r="N54" t="str">
        <f>IF(SalesTbl[[#This Row],[Profit]]&gt;180,"High Profit","Low Profit")</f>
        <v>High Profit</v>
      </c>
      <c r="O54" t="str">
        <f>TEXT(SalesTbl[[#This Row],[Date]],"mmm")</f>
        <v>Apr</v>
      </c>
    </row>
    <row r="55" spans="1:15" x14ac:dyDescent="0.3">
      <c r="A55">
        <v>1054</v>
      </c>
      <c r="B55" t="s">
        <v>81</v>
      </c>
      <c r="C55" t="s">
        <v>31</v>
      </c>
      <c r="D55" t="s">
        <v>15</v>
      </c>
      <c r="E55" t="s">
        <v>22</v>
      </c>
      <c r="F55" t="s">
        <v>23</v>
      </c>
      <c r="G55">
        <v>9</v>
      </c>
      <c r="H55">
        <v>986</v>
      </c>
      <c r="I55">
        <v>8874</v>
      </c>
      <c r="J55">
        <v>5324</v>
      </c>
      <c r="K55">
        <v>3550</v>
      </c>
      <c r="L55" t="s">
        <v>28</v>
      </c>
      <c r="M55" t="s">
        <v>29</v>
      </c>
      <c r="N55" t="str">
        <f>IF(SalesTbl[[#This Row],[Profit]]&gt;180,"High Profit","Low Profit")</f>
        <v>High Profit</v>
      </c>
      <c r="O55" t="str">
        <f>TEXT(SalesTbl[[#This Row],[Date]],"mmm")</f>
        <v>Apr</v>
      </c>
    </row>
    <row r="56" spans="1:15" x14ac:dyDescent="0.3">
      <c r="A56">
        <v>1055</v>
      </c>
      <c r="B56" t="s">
        <v>82</v>
      </c>
      <c r="C56" t="s">
        <v>21</v>
      </c>
      <c r="D56" t="s">
        <v>35</v>
      </c>
      <c r="E56" t="s">
        <v>27</v>
      </c>
      <c r="F56" t="s">
        <v>17</v>
      </c>
      <c r="G56">
        <v>1</v>
      </c>
      <c r="H56">
        <v>620</v>
      </c>
      <c r="I56">
        <v>620</v>
      </c>
      <c r="J56">
        <v>465</v>
      </c>
      <c r="K56">
        <v>155</v>
      </c>
      <c r="L56" t="s">
        <v>24</v>
      </c>
      <c r="M56" t="s">
        <v>19</v>
      </c>
      <c r="N56" t="str">
        <f>IF(SalesTbl[[#This Row],[Profit]]&gt;180,"High Profit","Low Profit")</f>
        <v>Low Profit</v>
      </c>
      <c r="O56" t="str">
        <f>TEXT(SalesTbl[[#This Row],[Date]],"mmm")</f>
        <v>Jan</v>
      </c>
    </row>
    <row r="57" spans="1:15" x14ac:dyDescent="0.3">
      <c r="A57">
        <v>1034</v>
      </c>
      <c r="B57" t="s">
        <v>65</v>
      </c>
      <c r="C57" t="s">
        <v>40</v>
      </c>
      <c r="D57" t="s">
        <v>35</v>
      </c>
      <c r="E57" t="s">
        <v>54</v>
      </c>
      <c r="F57" t="s">
        <v>17</v>
      </c>
      <c r="G57">
        <v>7</v>
      </c>
      <c r="H57">
        <v>920</v>
      </c>
      <c r="I57">
        <v>6440</v>
      </c>
      <c r="J57">
        <v>4314</v>
      </c>
      <c r="K57">
        <v>2126</v>
      </c>
      <c r="L57" t="s">
        <v>38</v>
      </c>
      <c r="M57" t="s">
        <v>19</v>
      </c>
      <c r="N57" t="str">
        <f>IF(SalesTbl[[#This Row],[Profit]]&gt;180,"High Profit","Low Profit")</f>
        <v>High Profit</v>
      </c>
      <c r="O57" t="str">
        <f>TEXT(SalesTbl[[#This Row],[Date]],"mmm")</f>
        <v>May</v>
      </c>
    </row>
    <row r="58" spans="1:15" x14ac:dyDescent="0.3">
      <c r="A58">
        <v>1569</v>
      </c>
      <c r="B58" t="s">
        <v>130</v>
      </c>
      <c r="C58" t="s">
        <v>40</v>
      </c>
      <c r="D58" t="s">
        <v>32</v>
      </c>
      <c r="E58" t="s">
        <v>27</v>
      </c>
      <c r="F58" t="s">
        <v>17</v>
      </c>
      <c r="G58">
        <v>8</v>
      </c>
      <c r="H58">
        <v>776</v>
      </c>
      <c r="I58">
        <v>6208</v>
      </c>
      <c r="J58">
        <v>4097</v>
      </c>
      <c r="K58">
        <v>2111</v>
      </c>
      <c r="L58" t="s">
        <v>24</v>
      </c>
      <c r="M58" t="s">
        <v>19</v>
      </c>
      <c r="N58" t="str">
        <f>IF(SalesTbl[[#This Row],[Profit]]&gt;180,"High Profit","Low Profit")</f>
        <v>High Profit</v>
      </c>
      <c r="O58" t="str">
        <f>TEXT(SalesTbl[[#This Row],[Date]],"mmm")</f>
        <v>Mar</v>
      </c>
    </row>
    <row r="59" spans="1:15" x14ac:dyDescent="0.3">
      <c r="A59">
        <v>1750</v>
      </c>
      <c r="B59" t="s">
        <v>150</v>
      </c>
      <c r="C59" t="s">
        <v>40</v>
      </c>
      <c r="D59" t="s">
        <v>15</v>
      </c>
      <c r="E59" t="s">
        <v>16</v>
      </c>
      <c r="F59" t="s">
        <v>17</v>
      </c>
      <c r="G59">
        <v>9</v>
      </c>
      <c r="H59">
        <v>770</v>
      </c>
      <c r="I59">
        <v>6930</v>
      </c>
      <c r="J59">
        <v>4851</v>
      </c>
      <c r="K59">
        <v>2079</v>
      </c>
      <c r="L59" t="s">
        <v>18</v>
      </c>
      <c r="M59" t="s">
        <v>19</v>
      </c>
      <c r="N59" t="str">
        <f>IF(SalesTbl[[#This Row],[Profit]]&gt;180,"High Profit","Low Profit")</f>
        <v>High Profit</v>
      </c>
      <c r="O59" t="str">
        <f>TEXT(SalesTbl[[#This Row],[Date]],"mmm")</f>
        <v>Jun</v>
      </c>
    </row>
    <row r="60" spans="1:15" x14ac:dyDescent="0.3">
      <c r="A60">
        <v>1059</v>
      </c>
      <c r="B60" t="s">
        <v>72</v>
      </c>
      <c r="C60" t="s">
        <v>40</v>
      </c>
      <c r="D60" t="s">
        <v>15</v>
      </c>
      <c r="E60" t="s">
        <v>48</v>
      </c>
      <c r="F60" t="s">
        <v>23</v>
      </c>
      <c r="G60">
        <v>1</v>
      </c>
      <c r="H60">
        <v>713</v>
      </c>
      <c r="I60">
        <v>713</v>
      </c>
      <c r="J60">
        <v>449</v>
      </c>
      <c r="K60">
        <v>264</v>
      </c>
      <c r="L60" t="s">
        <v>38</v>
      </c>
      <c r="M60" t="s">
        <v>29</v>
      </c>
      <c r="N60" t="str">
        <f>IF(SalesTbl[[#This Row],[Profit]]&gt;180,"High Profit","Low Profit")</f>
        <v>High Profit</v>
      </c>
      <c r="O60" t="str">
        <f>TEXT(SalesTbl[[#This Row],[Date]],"mmm")</f>
        <v>Mar</v>
      </c>
    </row>
    <row r="61" spans="1:15" x14ac:dyDescent="0.3">
      <c r="A61">
        <v>1060</v>
      </c>
      <c r="B61" t="s">
        <v>86</v>
      </c>
      <c r="C61" t="s">
        <v>14</v>
      </c>
      <c r="D61" t="s">
        <v>26</v>
      </c>
      <c r="E61" t="s">
        <v>48</v>
      </c>
      <c r="F61" t="s">
        <v>23</v>
      </c>
      <c r="G61">
        <v>10</v>
      </c>
      <c r="H61">
        <v>159</v>
      </c>
      <c r="I61">
        <v>1590</v>
      </c>
      <c r="J61">
        <v>1033</v>
      </c>
      <c r="K61">
        <v>557</v>
      </c>
      <c r="L61" t="s">
        <v>18</v>
      </c>
      <c r="M61" t="s">
        <v>29</v>
      </c>
      <c r="N61" t="str">
        <f>IF(SalesTbl[[#This Row],[Profit]]&gt;180,"High Profit","Low Profit")</f>
        <v>High Profit</v>
      </c>
      <c r="O61" t="str">
        <f>TEXT(SalesTbl[[#This Row],[Date]],"mmm")</f>
        <v>Apr</v>
      </c>
    </row>
    <row r="62" spans="1:15" x14ac:dyDescent="0.3">
      <c r="A62">
        <v>1061</v>
      </c>
      <c r="B62" t="s">
        <v>87</v>
      </c>
      <c r="C62" t="s">
        <v>21</v>
      </c>
      <c r="D62" t="s">
        <v>32</v>
      </c>
      <c r="E62" t="s">
        <v>48</v>
      </c>
      <c r="F62" t="s">
        <v>23</v>
      </c>
      <c r="G62">
        <v>9</v>
      </c>
      <c r="H62">
        <v>462</v>
      </c>
      <c r="I62">
        <v>4158</v>
      </c>
      <c r="J62">
        <v>2661</v>
      </c>
      <c r="K62">
        <v>1497</v>
      </c>
      <c r="L62" t="s">
        <v>28</v>
      </c>
      <c r="M62" t="s">
        <v>29</v>
      </c>
      <c r="N62" t="str">
        <f>IF(SalesTbl[[#This Row],[Profit]]&gt;180,"High Profit","Low Profit")</f>
        <v>High Profit</v>
      </c>
      <c r="O62" t="str">
        <f>TEXT(SalesTbl[[#This Row],[Date]],"mmm")</f>
        <v>Feb</v>
      </c>
    </row>
    <row r="63" spans="1:15" x14ac:dyDescent="0.3">
      <c r="A63">
        <v>1062</v>
      </c>
      <c r="B63" t="s">
        <v>88</v>
      </c>
      <c r="C63" t="s">
        <v>21</v>
      </c>
      <c r="D63" t="s">
        <v>15</v>
      </c>
      <c r="E63" t="s">
        <v>48</v>
      </c>
      <c r="F63" t="s">
        <v>23</v>
      </c>
      <c r="G63">
        <v>6</v>
      </c>
      <c r="H63">
        <v>257</v>
      </c>
      <c r="I63">
        <v>1542</v>
      </c>
      <c r="J63">
        <v>1233</v>
      </c>
      <c r="K63">
        <v>309</v>
      </c>
      <c r="L63" t="s">
        <v>33</v>
      </c>
      <c r="M63" t="s">
        <v>19</v>
      </c>
      <c r="N63" t="str">
        <f>IF(SalesTbl[[#This Row],[Profit]]&gt;180,"High Profit","Low Profit")</f>
        <v>High Profit</v>
      </c>
      <c r="O63" t="str">
        <f>TEXT(SalesTbl[[#This Row],[Date]],"mmm")</f>
        <v>Feb</v>
      </c>
    </row>
    <row r="64" spans="1:15" x14ac:dyDescent="0.3">
      <c r="A64">
        <v>1063</v>
      </c>
      <c r="B64" t="s">
        <v>89</v>
      </c>
      <c r="C64" t="s">
        <v>21</v>
      </c>
      <c r="D64" t="s">
        <v>26</v>
      </c>
      <c r="E64" t="s">
        <v>16</v>
      </c>
      <c r="F64" t="s">
        <v>17</v>
      </c>
      <c r="G64">
        <v>2</v>
      </c>
      <c r="H64">
        <v>658</v>
      </c>
      <c r="I64">
        <v>1316</v>
      </c>
      <c r="J64">
        <v>829</v>
      </c>
      <c r="K64">
        <v>487</v>
      </c>
      <c r="L64" t="s">
        <v>28</v>
      </c>
      <c r="M64" t="s">
        <v>19</v>
      </c>
      <c r="N64" t="str">
        <f>IF(SalesTbl[[#This Row],[Profit]]&gt;180,"High Profit","Low Profit")</f>
        <v>High Profit</v>
      </c>
      <c r="O64" t="str">
        <f>TEXT(SalesTbl[[#This Row],[Date]],"mmm")</f>
        <v>Apr</v>
      </c>
    </row>
    <row r="65" spans="1:15" x14ac:dyDescent="0.3">
      <c r="A65">
        <v>1064</v>
      </c>
      <c r="B65" t="s">
        <v>90</v>
      </c>
      <c r="C65" t="s">
        <v>31</v>
      </c>
      <c r="D65" t="s">
        <v>15</v>
      </c>
      <c r="E65" t="s">
        <v>54</v>
      </c>
      <c r="F65" t="s">
        <v>17</v>
      </c>
      <c r="G65">
        <v>9</v>
      </c>
      <c r="H65">
        <v>737</v>
      </c>
      <c r="I65">
        <v>6633</v>
      </c>
      <c r="J65">
        <v>4311</v>
      </c>
      <c r="K65">
        <v>2322</v>
      </c>
      <c r="L65" t="s">
        <v>18</v>
      </c>
      <c r="M65" t="s">
        <v>29</v>
      </c>
      <c r="N65" t="str">
        <f>IF(SalesTbl[[#This Row],[Profit]]&gt;180,"High Profit","Low Profit")</f>
        <v>High Profit</v>
      </c>
      <c r="O65" t="str">
        <f>TEXT(SalesTbl[[#This Row],[Date]],"mmm")</f>
        <v>Jan</v>
      </c>
    </row>
    <row r="66" spans="1:15" x14ac:dyDescent="0.3">
      <c r="A66">
        <v>1065</v>
      </c>
      <c r="B66" t="s">
        <v>91</v>
      </c>
      <c r="C66" t="s">
        <v>21</v>
      </c>
      <c r="D66" t="s">
        <v>35</v>
      </c>
      <c r="E66" t="s">
        <v>48</v>
      </c>
      <c r="F66" t="s">
        <v>23</v>
      </c>
      <c r="G66">
        <v>8</v>
      </c>
      <c r="H66">
        <v>775</v>
      </c>
      <c r="I66">
        <v>6200</v>
      </c>
      <c r="J66">
        <v>4898</v>
      </c>
      <c r="K66">
        <v>1302</v>
      </c>
      <c r="L66" t="s">
        <v>33</v>
      </c>
      <c r="M66" t="s">
        <v>19</v>
      </c>
      <c r="N66" t="str">
        <f>IF(SalesTbl[[#This Row],[Profit]]&gt;180,"High Profit","Low Profit")</f>
        <v>High Profit</v>
      </c>
      <c r="O66" t="str">
        <f>TEXT(SalesTbl[[#This Row],[Date]],"mmm")</f>
        <v>Feb</v>
      </c>
    </row>
    <row r="67" spans="1:15" x14ac:dyDescent="0.3">
      <c r="A67">
        <v>1066</v>
      </c>
      <c r="B67" t="s">
        <v>92</v>
      </c>
      <c r="C67" t="s">
        <v>40</v>
      </c>
      <c r="D67" t="s">
        <v>32</v>
      </c>
      <c r="E67" t="s">
        <v>22</v>
      </c>
      <c r="F67" t="s">
        <v>23</v>
      </c>
      <c r="G67">
        <v>7</v>
      </c>
      <c r="H67">
        <v>863</v>
      </c>
      <c r="I67">
        <v>6041</v>
      </c>
      <c r="J67">
        <v>4047</v>
      </c>
      <c r="K67">
        <v>1994</v>
      </c>
      <c r="L67" t="s">
        <v>18</v>
      </c>
      <c r="M67" t="s">
        <v>19</v>
      </c>
      <c r="N67" t="str">
        <f>IF(SalesTbl[[#This Row],[Profit]]&gt;180,"High Profit","Low Profit")</f>
        <v>High Profit</v>
      </c>
      <c r="O67" t="str">
        <f>TEXT(SalesTbl[[#This Row],[Date]],"mmm")</f>
        <v>Feb</v>
      </c>
    </row>
    <row r="68" spans="1:15" x14ac:dyDescent="0.3">
      <c r="A68">
        <v>1022</v>
      </c>
      <c r="B68" t="s">
        <v>55</v>
      </c>
      <c r="C68" t="s">
        <v>40</v>
      </c>
      <c r="D68" t="s">
        <v>26</v>
      </c>
      <c r="E68" t="s">
        <v>54</v>
      </c>
      <c r="F68" t="s">
        <v>17</v>
      </c>
      <c r="G68">
        <v>9</v>
      </c>
      <c r="H68">
        <v>607</v>
      </c>
      <c r="I68">
        <v>5463</v>
      </c>
      <c r="J68">
        <v>3387</v>
      </c>
      <c r="K68">
        <v>2076</v>
      </c>
      <c r="L68" t="s">
        <v>18</v>
      </c>
      <c r="M68" t="s">
        <v>19</v>
      </c>
      <c r="N68" t="str">
        <f>IF(SalesTbl[[#This Row],[Profit]]&gt;180,"High Profit","Low Profit")</f>
        <v>High Profit</v>
      </c>
      <c r="O68" t="str">
        <f>TEXT(SalesTbl[[#This Row],[Date]],"mmm")</f>
        <v>Feb</v>
      </c>
    </row>
    <row r="69" spans="1:15" x14ac:dyDescent="0.3">
      <c r="A69">
        <v>1068</v>
      </c>
      <c r="B69" t="s">
        <v>94</v>
      </c>
      <c r="C69" t="s">
        <v>21</v>
      </c>
      <c r="D69" t="s">
        <v>35</v>
      </c>
      <c r="E69" t="s">
        <v>27</v>
      </c>
      <c r="F69" t="s">
        <v>17</v>
      </c>
      <c r="G69">
        <v>9</v>
      </c>
      <c r="H69">
        <v>720</v>
      </c>
      <c r="I69">
        <v>6480</v>
      </c>
      <c r="J69">
        <v>4600</v>
      </c>
      <c r="K69">
        <v>1880</v>
      </c>
      <c r="L69" t="s">
        <v>38</v>
      </c>
      <c r="M69" t="s">
        <v>29</v>
      </c>
      <c r="N69" t="str">
        <f>IF(SalesTbl[[#This Row],[Profit]]&gt;180,"High Profit","Low Profit")</f>
        <v>High Profit</v>
      </c>
      <c r="O69" t="str">
        <f>TEXT(SalesTbl[[#This Row],[Date]],"mmm")</f>
        <v>Mar</v>
      </c>
    </row>
    <row r="70" spans="1:15" x14ac:dyDescent="0.3">
      <c r="A70">
        <v>1069</v>
      </c>
      <c r="B70" t="s">
        <v>95</v>
      </c>
      <c r="C70" t="s">
        <v>14</v>
      </c>
      <c r="D70" t="s">
        <v>26</v>
      </c>
      <c r="E70" t="s">
        <v>27</v>
      </c>
      <c r="F70" t="s">
        <v>17</v>
      </c>
      <c r="G70">
        <v>10</v>
      </c>
      <c r="H70">
        <v>691</v>
      </c>
      <c r="I70">
        <v>6910</v>
      </c>
      <c r="J70">
        <v>4906</v>
      </c>
      <c r="K70">
        <v>2004</v>
      </c>
      <c r="L70" t="s">
        <v>18</v>
      </c>
      <c r="M70" t="s">
        <v>19</v>
      </c>
      <c r="N70" t="str">
        <f>IF(SalesTbl[[#This Row],[Profit]]&gt;180,"High Profit","Low Profit")</f>
        <v>High Profit</v>
      </c>
      <c r="O70" t="str">
        <f>TEXT(SalesTbl[[#This Row],[Date]],"mmm")</f>
        <v>Feb</v>
      </c>
    </row>
    <row r="71" spans="1:15" x14ac:dyDescent="0.3">
      <c r="A71">
        <v>1070</v>
      </c>
      <c r="B71" t="s">
        <v>96</v>
      </c>
      <c r="C71" t="s">
        <v>31</v>
      </c>
      <c r="D71" t="s">
        <v>32</v>
      </c>
      <c r="E71" t="s">
        <v>27</v>
      </c>
      <c r="F71" t="s">
        <v>17</v>
      </c>
      <c r="G71">
        <v>6</v>
      </c>
      <c r="H71">
        <v>982</v>
      </c>
      <c r="I71">
        <v>5892</v>
      </c>
      <c r="J71">
        <v>4065</v>
      </c>
      <c r="K71">
        <v>1827</v>
      </c>
      <c r="L71" t="s">
        <v>38</v>
      </c>
      <c r="M71" t="s">
        <v>19</v>
      </c>
      <c r="N71" t="str">
        <f>IF(SalesTbl[[#This Row],[Profit]]&gt;180,"High Profit","Low Profit")</f>
        <v>High Profit</v>
      </c>
      <c r="O71" t="str">
        <f>TEXT(SalesTbl[[#This Row],[Date]],"mmm")</f>
        <v>Jun</v>
      </c>
    </row>
    <row r="72" spans="1:15" x14ac:dyDescent="0.3">
      <c r="A72">
        <v>1071</v>
      </c>
      <c r="B72" t="s">
        <v>97</v>
      </c>
      <c r="C72" t="s">
        <v>21</v>
      </c>
      <c r="D72" t="s">
        <v>35</v>
      </c>
      <c r="E72" t="s">
        <v>22</v>
      </c>
      <c r="F72" t="s">
        <v>23</v>
      </c>
      <c r="G72">
        <v>8</v>
      </c>
      <c r="H72">
        <v>843</v>
      </c>
      <c r="I72">
        <v>6744</v>
      </c>
      <c r="J72">
        <v>4990</v>
      </c>
      <c r="K72">
        <v>1754</v>
      </c>
      <c r="L72" t="s">
        <v>24</v>
      </c>
      <c r="M72" t="s">
        <v>19</v>
      </c>
      <c r="N72" t="str">
        <f>IF(SalesTbl[[#This Row],[Profit]]&gt;180,"High Profit","Low Profit")</f>
        <v>High Profit</v>
      </c>
      <c r="O72" t="str">
        <f>TEXT(SalesTbl[[#This Row],[Date]],"mmm")</f>
        <v>Apr</v>
      </c>
    </row>
    <row r="73" spans="1:15" x14ac:dyDescent="0.3">
      <c r="A73">
        <v>1937</v>
      </c>
      <c r="B73" t="s">
        <v>36</v>
      </c>
      <c r="C73" t="s">
        <v>40</v>
      </c>
      <c r="D73" t="s">
        <v>32</v>
      </c>
      <c r="E73" t="s">
        <v>54</v>
      </c>
      <c r="F73" t="s">
        <v>17</v>
      </c>
      <c r="G73">
        <v>9</v>
      </c>
      <c r="H73">
        <v>988</v>
      </c>
      <c r="I73">
        <v>8892</v>
      </c>
      <c r="J73">
        <v>6935</v>
      </c>
      <c r="K73">
        <v>1957</v>
      </c>
      <c r="L73" t="s">
        <v>28</v>
      </c>
      <c r="M73" t="s">
        <v>29</v>
      </c>
      <c r="N73" t="str">
        <f>IF(SalesTbl[[#This Row],[Profit]]&gt;180,"High Profit","Low Profit")</f>
        <v>High Profit</v>
      </c>
      <c r="O73" t="str">
        <f>TEXT(SalesTbl[[#This Row],[Date]],"mmm")</f>
        <v>May</v>
      </c>
    </row>
    <row r="74" spans="1:15" x14ac:dyDescent="0.3">
      <c r="A74">
        <v>1073</v>
      </c>
      <c r="B74" t="s">
        <v>99</v>
      </c>
      <c r="C74" t="s">
        <v>31</v>
      </c>
      <c r="D74" t="s">
        <v>32</v>
      </c>
      <c r="E74" t="s">
        <v>22</v>
      </c>
      <c r="F74" t="s">
        <v>23</v>
      </c>
      <c r="G74">
        <v>6</v>
      </c>
      <c r="H74">
        <v>232</v>
      </c>
      <c r="I74">
        <v>1392</v>
      </c>
      <c r="J74">
        <v>988</v>
      </c>
      <c r="K74">
        <v>404</v>
      </c>
      <c r="L74" t="s">
        <v>18</v>
      </c>
      <c r="M74" t="s">
        <v>29</v>
      </c>
      <c r="N74" t="str">
        <f>IF(SalesTbl[[#This Row],[Profit]]&gt;180,"High Profit","Low Profit")</f>
        <v>High Profit</v>
      </c>
      <c r="O74" t="str">
        <f>TEXT(SalesTbl[[#This Row],[Date]],"mmm")</f>
        <v>Jun</v>
      </c>
    </row>
    <row r="75" spans="1:15" x14ac:dyDescent="0.3">
      <c r="A75">
        <v>1074</v>
      </c>
      <c r="B75" t="s">
        <v>46</v>
      </c>
      <c r="C75" t="s">
        <v>21</v>
      </c>
      <c r="D75" t="s">
        <v>32</v>
      </c>
      <c r="E75" t="s">
        <v>54</v>
      </c>
      <c r="F75" t="s">
        <v>17</v>
      </c>
      <c r="G75">
        <v>6</v>
      </c>
      <c r="H75">
        <v>691</v>
      </c>
      <c r="I75">
        <v>4146</v>
      </c>
      <c r="J75">
        <v>2860</v>
      </c>
      <c r="K75">
        <v>1286</v>
      </c>
      <c r="L75" t="s">
        <v>33</v>
      </c>
      <c r="M75" t="s">
        <v>19</v>
      </c>
      <c r="N75" t="str">
        <f>IF(SalesTbl[[#This Row],[Profit]]&gt;180,"High Profit","Low Profit")</f>
        <v>High Profit</v>
      </c>
      <c r="O75" t="str">
        <f>TEXT(SalesTbl[[#This Row],[Date]],"mmm")</f>
        <v>Mar</v>
      </c>
    </row>
    <row r="76" spans="1:15" x14ac:dyDescent="0.3">
      <c r="A76">
        <v>1075</v>
      </c>
      <c r="B76" t="s">
        <v>100</v>
      </c>
      <c r="C76" t="s">
        <v>21</v>
      </c>
      <c r="D76" t="s">
        <v>32</v>
      </c>
      <c r="E76" t="s">
        <v>48</v>
      </c>
      <c r="F76" t="s">
        <v>23</v>
      </c>
      <c r="G76">
        <v>5</v>
      </c>
      <c r="H76">
        <v>999</v>
      </c>
      <c r="I76">
        <v>4995</v>
      </c>
      <c r="J76">
        <v>2997</v>
      </c>
      <c r="K76">
        <v>1998</v>
      </c>
      <c r="L76" t="s">
        <v>38</v>
      </c>
      <c r="M76" t="s">
        <v>29</v>
      </c>
      <c r="N76" t="str">
        <f>IF(SalesTbl[[#This Row],[Profit]]&gt;180,"High Profit","Low Profit")</f>
        <v>High Profit</v>
      </c>
      <c r="O76" t="str">
        <f>TEXT(SalesTbl[[#This Row],[Date]],"mmm")</f>
        <v>Jan</v>
      </c>
    </row>
    <row r="77" spans="1:15" x14ac:dyDescent="0.3">
      <c r="A77">
        <v>1076</v>
      </c>
      <c r="B77" t="s">
        <v>91</v>
      </c>
      <c r="C77" t="s">
        <v>14</v>
      </c>
      <c r="D77" t="s">
        <v>26</v>
      </c>
      <c r="E77" t="s">
        <v>48</v>
      </c>
      <c r="F77" t="s">
        <v>23</v>
      </c>
      <c r="G77">
        <v>4</v>
      </c>
      <c r="H77">
        <v>446</v>
      </c>
      <c r="I77">
        <v>1784</v>
      </c>
      <c r="J77">
        <v>1302</v>
      </c>
      <c r="K77">
        <v>482</v>
      </c>
      <c r="L77" t="s">
        <v>33</v>
      </c>
      <c r="M77" t="s">
        <v>29</v>
      </c>
      <c r="N77" t="str">
        <f>IF(SalesTbl[[#This Row],[Profit]]&gt;180,"High Profit","Low Profit")</f>
        <v>High Profit</v>
      </c>
      <c r="O77" t="str">
        <f>TEXT(SalesTbl[[#This Row],[Date]],"mmm")</f>
        <v>Feb</v>
      </c>
    </row>
    <row r="78" spans="1:15" x14ac:dyDescent="0.3">
      <c r="A78">
        <v>1077</v>
      </c>
      <c r="B78" t="s">
        <v>101</v>
      </c>
      <c r="C78" t="s">
        <v>31</v>
      </c>
      <c r="D78" t="s">
        <v>35</v>
      </c>
      <c r="E78" t="s">
        <v>41</v>
      </c>
      <c r="F78" t="s">
        <v>17</v>
      </c>
      <c r="G78">
        <v>7</v>
      </c>
      <c r="H78">
        <v>80</v>
      </c>
      <c r="I78">
        <v>560</v>
      </c>
      <c r="J78">
        <v>442</v>
      </c>
      <c r="K78">
        <v>118</v>
      </c>
      <c r="L78" t="s">
        <v>28</v>
      </c>
      <c r="M78" t="s">
        <v>29</v>
      </c>
      <c r="N78" t="str">
        <f>IF(SalesTbl[[#This Row],[Profit]]&gt;180,"High Profit","Low Profit")</f>
        <v>Low Profit</v>
      </c>
      <c r="O78" t="str">
        <f>TEXT(SalesTbl[[#This Row],[Date]],"mmm")</f>
        <v>Feb</v>
      </c>
    </row>
    <row r="79" spans="1:15" x14ac:dyDescent="0.3">
      <c r="A79">
        <v>1078</v>
      </c>
      <c r="B79" t="s">
        <v>102</v>
      </c>
      <c r="C79" t="s">
        <v>31</v>
      </c>
      <c r="D79" t="s">
        <v>32</v>
      </c>
      <c r="E79" t="s">
        <v>27</v>
      </c>
      <c r="F79" t="s">
        <v>17</v>
      </c>
      <c r="G79">
        <v>4</v>
      </c>
      <c r="H79">
        <v>782</v>
      </c>
      <c r="I79">
        <v>3128</v>
      </c>
      <c r="J79">
        <v>2033</v>
      </c>
      <c r="K79">
        <v>1095</v>
      </c>
      <c r="L79" t="s">
        <v>38</v>
      </c>
      <c r="M79" t="s">
        <v>29</v>
      </c>
      <c r="N79" t="str">
        <f>IF(SalesTbl[[#This Row],[Profit]]&gt;180,"High Profit","Low Profit")</f>
        <v>High Profit</v>
      </c>
      <c r="O79" t="str">
        <f>TEXT(SalesTbl[[#This Row],[Date]],"mmm")</f>
        <v>May</v>
      </c>
    </row>
    <row r="80" spans="1:15" x14ac:dyDescent="0.3">
      <c r="A80">
        <v>1079</v>
      </c>
      <c r="B80" t="s">
        <v>97</v>
      </c>
      <c r="C80" t="s">
        <v>14</v>
      </c>
      <c r="D80" t="s">
        <v>32</v>
      </c>
      <c r="E80" t="s">
        <v>48</v>
      </c>
      <c r="F80" t="s">
        <v>23</v>
      </c>
      <c r="G80">
        <v>4</v>
      </c>
      <c r="H80">
        <v>92</v>
      </c>
      <c r="I80">
        <v>368</v>
      </c>
      <c r="J80">
        <v>228</v>
      </c>
      <c r="K80">
        <v>140</v>
      </c>
      <c r="L80" t="s">
        <v>24</v>
      </c>
      <c r="M80" t="s">
        <v>29</v>
      </c>
      <c r="N80" t="str">
        <f>IF(SalesTbl[[#This Row],[Profit]]&gt;180,"High Profit","Low Profit")</f>
        <v>Low Profit</v>
      </c>
      <c r="O80" t="str">
        <f>TEXT(SalesTbl[[#This Row],[Date]],"mmm")</f>
        <v>Apr</v>
      </c>
    </row>
    <row r="81" spans="1:15" x14ac:dyDescent="0.3">
      <c r="A81">
        <v>1080</v>
      </c>
      <c r="B81" t="s">
        <v>103</v>
      </c>
      <c r="C81" t="s">
        <v>21</v>
      </c>
      <c r="D81" t="s">
        <v>35</v>
      </c>
      <c r="E81" t="s">
        <v>22</v>
      </c>
      <c r="F81" t="s">
        <v>23</v>
      </c>
      <c r="G81">
        <v>2</v>
      </c>
      <c r="H81">
        <v>119</v>
      </c>
      <c r="I81">
        <v>238</v>
      </c>
      <c r="J81">
        <v>176</v>
      </c>
      <c r="K81">
        <v>62</v>
      </c>
      <c r="L81" t="s">
        <v>24</v>
      </c>
      <c r="M81" t="s">
        <v>19</v>
      </c>
      <c r="N81" t="str">
        <f>IF(SalesTbl[[#This Row],[Profit]]&gt;180,"High Profit","Low Profit")</f>
        <v>Low Profit</v>
      </c>
      <c r="O81" t="str">
        <f>TEXT(SalesTbl[[#This Row],[Date]],"mmm")</f>
        <v>Feb</v>
      </c>
    </row>
    <row r="82" spans="1:15" x14ac:dyDescent="0.3">
      <c r="A82">
        <v>1081</v>
      </c>
      <c r="B82" t="s">
        <v>42</v>
      </c>
      <c r="C82" t="s">
        <v>31</v>
      </c>
      <c r="D82" t="s">
        <v>15</v>
      </c>
      <c r="E82" t="s">
        <v>41</v>
      </c>
      <c r="F82" t="s">
        <v>17</v>
      </c>
      <c r="G82">
        <v>2</v>
      </c>
      <c r="H82">
        <v>458</v>
      </c>
      <c r="I82">
        <v>916</v>
      </c>
      <c r="J82">
        <v>723</v>
      </c>
      <c r="K82">
        <v>193</v>
      </c>
      <c r="L82" t="s">
        <v>18</v>
      </c>
      <c r="M82" t="s">
        <v>29</v>
      </c>
      <c r="N82" t="str">
        <f>IF(SalesTbl[[#This Row],[Profit]]&gt;180,"High Profit","Low Profit")</f>
        <v>High Profit</v>
      </c>
      <c r="O82" t="str">
        <f>TEXT(SalesTbl[[#This Row],[Date]],"mmm")</f>
        <v>Apr</v>
      </c>
    </row>
    <row r="83" spans="1:15" x14ac:dyDescent="0.3">
      <c r="A83">
        <v>1082</v>
      </c>
      <c r="B83" t="s">
        <v>104</v>
      </c>
      <c r="C83" t="s">
        <v>14</v>
      </c>
      <c r="D83" t="s">
        <v>26</v>
      </c>
      <c r="E83" t="s">
        <v>22</v>
      </c>
      <c r="F83" t="s">
        <v>23</v>
      </c>
      <c r="G83">
        <v>4</v>
      </c>
      <c r="H83">
        <v>571</v>
      </c>
      <c r="I83">
        <v>2284</v>
      </c>
      <c r="J83">
        <v>1416</v>
      </c>
      <c r="K83">
        <v>868</v>
      </c>
      <c r="L83" t="s">
        <v>24</v>
      </c>
      <c r="M83" t="s">
        <v>19</v>
      </c>
      <c r="N83" t="str">
        <f>IF(SalesTbl[[#This Row],[Profit]]&gt;180,"High Profit","Low Profit")</f>
        <v>High Profit</v>
      </c>
      <c r="O83" t="str">
        <f>TEXT(SalesTbl[[#This Row],[Date]],"mmm")</f>
        <v>Jan</v>
      </c>
    </row>
    <row r="84" spans="1:15" x14ac:dyDescent="0.3">
      <c r="A84">
        <v>1083</v>
      </c>
      <c r="B84" t="s">
        <v>37</v>
      </c>
      <c r="C84" t="s">
        <v>21</v>
      </c>
      <c r="D84" t="s">
        <v>26</v>
      </c>
      <c r="E84" t="s">
        <v>16</v>
      </c>
      <c r="F84" t="s">
        <v>17</v>
      </c>
      <c r="G84">
        <v>9</v>
      </c>
      <c r="H84">
        <v>482</v>
      </c>
      <c r="I84">
        <v>4338</v>
      </c>
      <c r="J84">
        <v>3340</v>
      </c>
      <c r="K84">
        <v>998</v>
      </c>
      <c r="L84" t="s">
        <v>33</v>
      </c>
      <c r="M84" t="s">
        <v>29</v>
      </c>
      <c r="N84" t="str">
        <f>IF(SalesTbl[[#This Row],[Profit]]&gt;180,"High Profit","Low Profit")</f>
        <v>High Profit</v>
      </c>
      <c r="O84" t="str">
        <f>TEXT(SalesTbl[[#This Row],[Date]],"mmm")</f>
        <v>Jan</v>
      </c>
    </row>
    <row r="85" spans="1:15" x14ac:dyDescent="0.3">
      <c r="A85">
        <v>1084</v>
      </c>
      <c r="B85" t="s">
        <v>105</v>
      </c>
      <c r="C85" t="s">
        <v>31</v>
      </c>
      <c r="D85" t="s">
        <v>26</v>
      </c>
      <c r="E85" t="s">
        <v>54</v>
      </c>
      <c r="F85" t="s">
        <v>17</v>
      </c>
      <c r="G85">
        <v>9</v>
      </c>
      <c r="H85">
        <v>61</v>
      </c>
      <c r="I85">
        <v>549</v>
      </c>
      <c r="J85">
        <v>400</v>
      </c>
      <c r="K85">
        <v>149</v>
      </c>
      <c r="L85" t="s">
        <v>38</v>
      </c>
      <c r="M85" t="s">
        <v>29</v>
      </c>
      <c r="N85" t="str">
        <f>IF(SalesTbl[[#This Row],[Profit]]&gt;180,"High Profit","Low Profit")</f>
        <v>Low Profit</v>
      </c>
      <c r="O85" t="str">
        <f>TEXT(SalesTbl[[#This Row],[Date]],"mmm")</f>
        <v>Jun</v>
      </c>
    </row>
    <row r="86" spans="1:15" x14ac:dyDescent="0.3">
      <c r="A86">
        <v>1085</v>
      </c>
      <c r="B86" t="s">
        <v>106</v>
      </c>
      <c r="C86" t="s">
        <v>14</v>
      </c>
      <c r="D86" t="s">
        <v>15</v>
      </c>
      <c r="E86" t="s">
        <v>48</v>
      </c>
      <c r="F86" t="s">
        <v>23</v>
      </c>
      <c r="G86">
        <v>5</v>
      </c>
      <c r="H86">
        <v>473</v>
      </c>
      <c r="I86">
        <v>2365</v>
      </c>
      <c r="J86">
        <v>1560</v>
      </c>
      <c r="K86">
        <v>805</v>
      </c>
      <c r="L86" t="s">
        <v>28</v>
      </c>
      <c r="M86" t="s">
        <v>19</v>
      </c>
      <c r="N86" t="str">
        <f>IF(SalesTbl[[#This Row],[Profit]]&gt;180,"High Profit","Low Profit")</f>
        <v>High Profit</v>
      </c>
      <c r="O86" t="str">
        <f>TEXT(SalesTbl[[#This Row],[Date]],"mmm")</f>
        <v>May</v>
      </c>
    </row>
    <row r="87" spans="1:15" x14ac:dyDescent="0.3">
      <c r="A87">
        <v>1086</v>
      </c>
      <c r="B87" t="s">
        <v>107</v>
      </c>
      <c r="C87" t="s">
        <v>14</v>
      </c>
      <c r="D87" t="s">
        <v>15</v>
      </c>
      <c r="E87" t="s">
        <v>27</v>
      </c>
      <c r="F87" t="s">
        <v>17</v>
      </c>
      <c r="G87">
        <v>7</v>
      </c>
      <c r="H87">
        <v>870</v>
      </c>
      <c r="I87">
        <v>6090</v>
      </c>
      <c r="J87">
        <v>4689</v>
      </c>
      <c r="K87">
        <v>1401</v>
      </c>
      <c r="L87" t="s">
        <v>33</v>
      </c>
      <c r="M87" t="s">
        <v>19</v>
      </c>
      <c r="N87" t="str">
        <f>IF(SalesTbl[[#This Row],[Profit]]&gt;180,"High Profit","Low Profit")</f>
        <v>High Profit</v>
      </c>
      <c r="O87" t="str">
        <f>TEXT(SalesTbl[[#This Row],[Date]],"mmm")</f>
        <v>Apr</v>
      </c>
    </row>
    <row r="88" spans="1:15" x14ac:dyDescent="0.3">
      <c r="A88">
        <v>1438</v>
      </c>
      <c r="B88" t="s">
        <v>199</v>
      </c>
      <c r="C88" t="s">
        <v>40</v>
      </c>
      <c r="D88" t="s">
        <v>26</v>
      </c>
      <c r="E88" t="s">
        <v>41</v>
      </c>
      <c r="F88" t="s">
        <v>17</v>
      </c>
      <c r="G88">
        <v>9</v>
      </c>
      <c r="H88">
        <v>578</v>
      </c>
      <c r="I88">
        <v>5202</v>
      </c>
      <c r="J88">
        <v>3277</v>
      </c>
      <c r="K88">
        <v>1925</v>
      </c>
      <c r="L88" t="s">
        <v>28</v>
      </c>
      <c r="M88" t="s">
        <v>19</v>
      </c>
      <c r="N88" t="str">
        <f>IF(SalesTbl[[#This Row],[Profit]]&gt;180,"High Profit","Low Profit")</f>
        <v>High Profit</v>
      </c>
      <c r="O88" t="str">
        <f>TEXT(SalesTbl[[#This Row],[Date]],"mmm")</f>
        <v>Apr</v>
      </c>
    </row>
    <row r="89" spans="1:15" x14ac:dyDescent="0.3">
      <c r="A89">
        <v>1088</v>
      </c>
      <c r="B89" t="s">
        <v>65</v>
      </c>
      <c r="C89" t="s">
        <v>21</v>
      </c>
      <c r="D89" t="s">
        <v>32</v>
      </c>
      <c r="E89" t="s">
        <v>41</v>
      </c>
      <c r="F89" t="s">
        <v>17</v>
      </c>
      <c r="G89">
        <v>4</v>
      </c>
      <c r="H89">
        <v>956</v>
      </c>
      <c r="I89">
        <v>3824</v>
      </c>
      <c r="J89">
        <v>2485</v>
      </c>
      <c r="K89">
        <v>1339</v>
      </c>
      <c r="L89" t="s">
        <v>28</v>
      </c>
      <c r="M89" t="s">
        <v>19</v>
      </c>
      <c r="N89" t="str">
        <f>IF(SalesTbl[[#This Row],[Profit]]&gt;180,"High Profit","Low Profit")</f>
        <v>High Profit</v>
      </c>
      <c r="O89" t="str">
        <f>TEXT(SalesTbl[[#This Row],[Date]],"mmm")</f>
        <v>May</v>
      </c>
    </row>
    <row r="90" spans="1:15" x14ac:dyDescent="0.3">
      <c r="A90">
        <v>1089</v>
      </c>
      <c r="B90" t="s">
        <v>94</v>
      </c>
      <c r="C90" t="s">
        <v>14</v>
      </c>
      <c r="D90" t="s">
        <v>15</v>
      </c>
      <c r="E90" t="s">
        <v>48</v>
      </c>
      <c r="F90" t="s">
        <v>23</v>
      </c>
      <c r="G90">
        <v>10</v>
      </c>
      <c r="H90">
        <v>763</v>
      </c>
      <c r="I90">
        <v>7630</v>
      </c>
      <c r="J90">
        <v>5798</v>
      </c>
      <c r="K90">
        <v>1832</v>
      </c>
      <c r="L90" t="s">
        <v>18</v>
      </c>
      <c r="M90" t="s">
        <v>29</v>
      </c>
      <c r="N90" t="str">
        <f>IF(SalesTbl[[#This Row],[Profit]]&gt;180,"High Profit","Low Profit")</f>
        <v>High Profit</v>
      </c>
      <c r="O90" t="str">
        <f>TEXT(SalesTbl[[#This Row],[Date]],"mmm")</f>
        <v>Mar</v>
      </c>
    </row>
    <row r="91" spans="1:15" x14ac:dyDescent="0.3">
      <c r="A91">
        <v>1090</v>
      </c>
      <c r="B91" t="s">
        <v>109</v>
      </c>
      <c r="C91" t="s">
        <v>21</v>
      </c>
      <c r="D91" t="s">
        <v>35</v>
      </c>
      <c r="E91" t="s">
        <v>22</v>
      </c>
      <c r="F91" t="s">
        <v>23</v>
      </c>
      <c r="G91">
        <v>3</v>
      </c>
      <c r="H91">
        <v>476</v>
      </c>
      <c r="I91">
        <v>1428</v>
      </c>
      <c r="J91">
        <v>1085</v>
      </c>
      <c r="K91">
        <v>343</v>
      </c>
      <c r="L91" t="s">
        <v>24</v>
      </c>
      <c r="M91" t="s">
        <v>19</v>
      </c>
      <c r="N91" t="str">
        <f>IF(SalesTbl[[#This Row],[Profit]]&gt;180,"High Profit","Low Profit")</f>
        <v>High Profit</v>
      </c>
      <c r="O91" t="str">
        <f>TEXT(SalesTbl[[#This Row],[Date]],"mmm")</f>
        <v>Apr</v>
      </c>
    </row>
    <row r="92" spans="1:15" x14ac:dyDescent="0.3">
      <c r="A92">
        <v>1091</v>
      </c>
      <c r="B92" t="s">
        <v>110</v>
      </c>
      <c r="C92" t="s">
        <v>21</v>
      </c>
      <c r="D92" t="s">
        <v>32</v>
      </c>
      <c r="E92" t="s">
        <v>54</v>
      </c>
      <c r="F92" t="s">
        <v>17</v>
      </c>
      <c r="G92">
        <v>1</v>
      </c>
      <c r="H92">
        <v>504</v>
      </c>
      <c r="I92">
        <v>504</v>
      </c>
      <c r="J92">
        <v>327</v>
      </c>
      <c r="K92">
        <v>177</v>
      </c>
      <c r="L92" t="s">
        <v>28</v>
      </c>
      <c r="M92" t="s">
        <v>19</v>
      </c>
      <c r="N92" t="str">
        <f>IF(SalesTbl[[#This Row],[Profit]]&gt;180,"High Profit","Low Profit")</f>
        <v>Low Profit</v>
      </c>
      <c r="O92" t="str">
        <f>TEXT(SalesTbl[[#This Row],[Date]],"mmm")</f>
        <v>Apr</v>
      </c>
    </row>
    <row r="93" spans="1:15" x14ac:dyDescent="0.3">
      <c r="A93">
        <v>1092</v>
      </c>
      <c r="B93" t="s">
        <v>111</v>
      </c>
      <c r="C93" t="s">
        <v>21</v>
      </c>
      <c r="D93" t="s">
        <v>35</v>
      </c>
      <c r="E93" t="s">
        <v>16</v>
      </c>
      <c r="F93" t="s">
        <v>17</v>
      </c>
      <c r="G93">
        <v>10</v>
      </c>
      <c r="H93">
        <v>297</v>
      </c>
      <c r="I93">
        <v>2970</v>
      </c>
      <c r="J93">
        <v>1960</v>
      </c>
      <c r="K93">
        <v>1010</v>
      </c>
      <c r="L93" t="s">
        <v>28</v>
      </c>
      <c r="M93" t="s">
        <v>29</v>
      </c>
      <c r="N93" t="str">
        <f>IF(SalesTbl[[#This Row],[Profit]]&gt;180,"High Profit","Low Profit")</f>
        <v>High Profit</v>
      </c>
      <c r="O93" t="str">
        <f>TEXT(SalesTbl[[#This Row],[Date]],"mmm")</f>
        <v>Apr</v>
      </c>
    </row>
    <row r="94" spans="1:15" x14ac:dyDescent="0.3">
      <c r="A94">
        <v>1093</v>
      </c>
      <c r="B94" t="s">
        <v>93</v>
      </c>
      <c r="C94" t="s">
        <v>31</v>
      </c>
      <c r="D94" t="s">
        <v>32</v>
      </c>
      <c r="E94" t="s">
        <v>16</v>
      </c>
      <c r="F94" t="s">
        <v>17</v>
      </c>
      <c r="G94">
        <v>6</v>
      </c>
      <c r="H94">
        <v>987</v>
      </c>
      <c r="I94">
        <v>5922</v>
      </c>
      <c r="J94">
        <v>3671</v>
      </c>
      <c r="K94">
        <v>2251</v>
      </c>
      <c r="L94" t="s">
        <v>28</v>
      </c>
      <c r="M94" t="s">
        <v>19</v>
      </c>
      <c r="N94" t="str">
        <f>IF(SalesTbl[[#This Row],[Profit]]&gt;180,"High Profit","Low Profit")</f>
        <v>High Profit</v>
      </c>
      <c r="O94" t="str">
        <f>TEXT(SalesTbl[[#This Row],[Date]],"mmm")</f>
        <v>Jun</v>
      </c>
    </row>
    <row r="95" spans="1:15" x14ac:dyDescent="0.3">
      <c r="A95">
        <v>1094</v>
      </c>
      <c r="B95" t="s">
        <v>107</v>
      </c>
      <c r="C95" t="s">
        <v>14</v>
      </c>
      <c r="D95" t="s">
        <v>32</v>
      </c>
      <c r="E95" t="s">
        <v>16</v>
      </c>
      <c r="F95" t="s">
        <v>17</v>
      </c>
      <c r="G95">
        <v>3</v>
      </c>
      <c r="H95">
        <v>289</v>
      </c>
      <c r="I95">
        <v>867</v>
      </c>
      <c r="J95">
        <v>520</v>
      </c>
      <c r="K95">
        <v>347</v>
      </c>
      <c r="L95" t="s">
        <v>24</v>
      </c>
      <c r="M95" t="s">
        <v>19</v>
      </c>
      <c r="N95" t="str">
        <f>IF(SalesTbl[[#This Row],[Profit]]&gt;180,"High Profit","Low Profit")</f>
        <v>High Profit</v>
      </c>
      <c r="O95" t="str">
        <f>TEXT(SalesTbl[[#This Row],[Date]],"mmm")</f>
        <v>Apr</v>
      </c>
    </row>
    <row r="96" spans="1:15" x14ac:dyDescent="0.3">
      <c r="A96">
        <v>1095</v>
      </c>
      <c r="B96" t="s">
        <v>56</v>
      </c>
      <c r="C96" t="s">
        <v>21</v>
      </c>
      <c r="D96" t="s">
        <v>32</v>
      </c>
      <c r="E96" t="s">
        <v>41</v>
      </c>
      <c r="F96" t="s">
        <v>17</v>
      </c>
      <c r="G96">
        <v>5</v>
      </c>
      <c r="H96">
        <v>548</v>
      </c>
      <c r="I96">
        <v>2740</v>
      </c>
      <c r="J96">
        <v>2192</v>
      </c>
      <c r="K96">
        <v>548</v>
      </c>
      <c r="L96" t="s">
        <v>33</v>
      </c>
      <c r="M96" t="s">
        <v>29</v>
      </c>
      <c r="N96" t="str">
        <f>IF(SalesTbl[[#This Row],[Profit]]&gt;180,"High Profit","Low Profit")</f>
        <v>High Profit</v>
      </c>
      <c r="O96" t="str">
        <f>TEXT(SalesTbl[[#This Row],[Date]],"mmm")</f>
        <v>Jan</v>
      </c>
    </row>
    <row r="97" spans="1:15" x14ac:dyDescent="0.3">
      <c r="A97">
        <v>1096</v>
      </c>
      <c r="B97" t="s">
        <v>71</v>
      </c>
      <c r="C97" t="s">
        <v>21</v>
      </c>
      <c r="D97" t="s">
        <v>35</v>
      </c>
      <c r="E97" t="s">
        <v>27</v>
      </c>
      <c r="F97" t="s">
        <v>17</v>
      </c>
      <c r="G97">
        <v>10</v>
      </c>
      <c r="H97">
        <v>877</v>
      </c>
      <c r="I97">
        <v>8770</v>
      </c>
      <c r="J97">
        <v>5875</v>
      </c>
      <c r="K97">
        <v>2895</v>
      </c>
      <c r="L97" t="s">
        <v>38</v>
      </c>
      <c r="M97" t="s">
        <v>29</v>
      </c>
      <c r="N97" t="str">
        <f>IF(SalesTbl[[#This Row],[Profit]]&gt;180,"High Profit","Low Profit")</f>
        <v>High Profit</v>
      </c>
      <c r="O97" t="str">
        <f>TEXT(SalesTbl[[#This Row],[Date]],"mmm")</f>
        <v>Apr</v>
      </c>
    </row>
    <row r="98" spans="1:15" x14ac:dyDescent="0.3">
      <c r="A98">
        <v>1097</v>
      </c>
      <c r="B98" t="s">
        <v>112</v>
      </c>
      <c r="C98" t="s">
        <v>31</v>
      </c>
      <c r="D98" t="s">
        <v>26</v>
      </c>
      <c r="E98" t="s">
        <v>54</v>
      </c>
      <c r="F98" t="s">
        <v>17</v>
      </c>
      <c r="G98">
        <v>8</v>
      </c>
      <c r="H98">
        <v>390</v>
      </c>
      <c r="I98">
        <v>3120</v>
      </c>
      <c r="J98">
        <v>1872</v>
      </c>
      <c r="K98">
        <v>1248</v>
      </c>
      <c r="L98" t="s">
        <v>18</v>
      </c>
      <c r="M98" t="s">
        <v>29</v>
      </c>
      <c r="N98" t="str">
        <f>IF(SalesTbl[[#This Row],[Profit]]&gt;180,"High Profit","Low Profit")</f>
        <v>High Profit</v>
      </c>
      <c r="O98" t="str">
        <f>TEXT(SalesTbl[[#This Row],[Date]],"mmm")</f>
        <v>Jun</v>
      </c>
    </row>
    <row r="99" spans="1:15" x14ac:dyDescent="0.3">
      <c r="A99">
        <v>1098</v>
      </c>
      <c r="B99" t="s">
        <v>39</v>
      </c>
      <c r="C99" t="s">
        <v>14</v>
      </c>
      <c r="D99" t="s">
        <v>26</v>
      </c>
      <c r="E99" t="s">
        <v>54</v>
      </c>
      <c r="F99" t="s">
        <v>17</v>
      </c>
      <c r="G99">
        <v>7</v>
      </c>
      <c r="H99">
        <v>700</v>
      </c>
      <c r="I99">
        <v>4900</v>
      </c>
      <c r="J99">
        <v>3479</v>
      </c>
      <c r="K99">
        <v>1421</v>
      </c>
      <c r="L99" t="s">
        <v>18</v>
      </c>
      <c r="M99" t="s">
        <v>29</v>
      </c>
      <c r="N99" t="str">
        <f>IF(SalesTbl[[#This Row],[Profit]]&gt;180,"High Profit","Low Profit")</f>
        <v>High Profit</v>
      </c>
      <c r="O99" t="str">
        <f>TEXT(SalesTbl[[#This Row],[Date]],"mmm")</f>
        <v>Mar</v>
      </c>
    </row>
    <row r="100" spans="1:15" x14ac:dyDescent="0.3">
      <c r="A100">
        <v>1099</v>
      </c>
      <c r="B100" t="s">
        <v>113</v>
      </c>
      <c r="C100" t="s">
        <v>31</v>
      </c>
      <c r="D100" t="s">
        <v>35</v>
      </c>
      <c r="E100" t="s">
        <v>54</v>
      </c>
      <c r="F100" t="s">
        <v>17</v>
      </c>
      <c r="G100">
        <v>3</v>
      </c>
      <c r="H100">
        <v>718</v>
      </c>
      <c r="I100">
        <v>2154</v>
      </c>
      <c r="J100">
        <v>1572</v>
      </c>
      <c r="K100">
        <v>582</v>
      </c>
      <c r="L100" t="s">
        <v>28</v>
      </c>
      <c r="M100" t="s">
        <v>19</v>
      </c>
      <c r="N100" t="str">
        <f>IF(SalesTbl[[#This Row],[Profit]]&gt;180,"High Profit","Low Profit")</f>
        <v>High Profit</v>
      </c>
      <c r="O100" t="str">
        <f>TEXT(SalesTbl[[#This Row],[Date]],"mmm")</f>
        <v>May</v>
      </c>
    </row>
    <row r="101" spans="1:15" x14ac:dyDescent="0.3">
      <c r="A101">
        <v>1100</v>
      </c>
      <c r="B101" t="s">
        <v>114</v>
      </c>
      <c r="C101" t="s">
        <v>31</v>
      </c>
      <c r="D101" t="s">
        <v>35</v>
      </c>
      <c r="E101" t="s">
        <v>27</v>
      </c>
      <c r="F101" t="s">
        <v>17</v>
      </c>
      <c r="G101">
        <v>4</v>
      </c>
      <c r="H101">
        <v>166</v>
      </c>
      <c r="I101">
        <v>664</v>
      </c>
      <c r="J101">
        <v>498</v>
      </c>
      <c r="K101">
        <v>166</v>
      </c>
      <c r="L101" t="s">
        <v>18</v>
      </c>
      <c r="M101" t="s">
        <v>29</v>
      </c>
      <c r="N101" t="str">
        <f>IF(SalesTbl[[#This Row],[Profit]]&gt;180,"High Profit","Low Profit")</f>
        <v>Low Profit</v>
      </c>
      <c r="O101" t="str">
        <f>TEXT(SalesTbl[[#This Row],[Date]],"mmm")</f>
        <v>Jan</v>
      </c>
    </row>
    <row r="102" spans="1:15" x14ac:dyDescent="0.3">
      <c r="A102">
        <v>1705</v>
      </c>
      <c r="B102" t="s">
        <v>162</v>
      </c>
      <c r="C102" t="s">
        <v>40</v>
      </c>
      <c r="D102" t="s">
        <v>15</v>
      </c>
      <c r="E102" t="s">
        <v>16</v>
      </c>
      <c r="F102" t="s">
        <v>17</v>
      </c>
      <c r="G102">
        <v>6</v>
      </c>
      <c r="H102">
        <v>814</v>
      </c>
      <c r="I102">
        <v>4884</v>
      </c>
      <c r="J102">
        <v>3028</v>
      </c>
      <c r="K102">
        <v>1856</v>
      </c>
      <c r="L102" t="s">
        <v>38</v>
      </c>
      <c r="M102" t="s">
        <v>19</v>
      </c>
      <c r="N102" t="str">
        <f>IF(SalesTbl[[#This Row],[Profit]]&gt;180,"High Profit","Low Profit")</f>
        <v>High Profit</v>
      </c>
      <c r="O102" t="str">
        <f>TEXT(SalesTbl[[#This Row],[Date]],"mmm")</f>
        <v>Apr</v>
      </c>
    </row>
    <row r="103" spans="1:15" x14ac:dyDescent="0.3">
      <c r="A103">
        <v>1102</v>
      </c>
      <c r="B103" t="s">
        <v>115</v>
      </c>
      <c r="C103" t="s">
        <v>21</v>
      </c>
      <c r="D103" t="s">
        <v>15</v>
      </c>
      <c r="E103" t="s">
        <v>27</v>
      </c>
      <c r="F103" t="s">
        <v>17</v>
      </c>
      <c r="G103">
        <v>6</v>
      </c>
      <c r="H103">
        <v>147</v>
      </c>
      <c r="I103">
        <v>882</v>
      </c>
      <c r="J103">
        <v>599</v>
      </c>
      <c r="K103">
        <v>283</v>
      </c>
      <c r="L103" t="s">
        <v>18</v>
      </c>
      <c r="M103" t="s">
        <v>29</v>
      </c>
      <c r="N103" t="str">
        <f>IF(SalesTbl[[#This Row],[Profit]]&gt;180,"High Profit","Low Profit")</f>
        <v>High Profit</v>
      </c>
      <c r="O103" t="str">
        <f>TEXT(SalesTbl[[#This Row],[Date]],"mmm")</f>
        <v>Jun</v>
      </c>
    </row>
    <row r="104" spans="1:15" x14ac:dyDescent="0.3">
      <c r="A104">
        <v>1103</v>
      </c>
      <c r="B104" t="s">
        <v>116</v>
      </c>
      <c r="C104" t="s">
        <v>14</v>
      </c>
      <c r="D104" t="s">
        <v>35</v>
      </c>
      <c r="E104" t="s">
        <v>41</v>
      </c>
      <c r="F104" t="s">
        <v>17</v>
      </c>
      <c r="G104">
        <v>9</v>
      </c>
      <c r="H104">
        <v>585</v>
      </c>
      <c r="I104">
        <v>5265</v>
      </c>
      <c r="J104">
        <v>4054</v>
      </c>
      <c r="K104">
        <v>1211</v>
      </c>
      <c r="L104" t="s">
        <v>38</v>
      </c>
      <c r="M104" t="s">
        <v>29</v>
      </c>
      <c r="N104" t="str">
        <f>IF(SalesTbl[[#This Row],[Profit]]&gt;180,"High Profit","Low Profit")</f>
        <v>High Profit</v>
      </c>
      <c r="O104" t="str">
        <f>TEXT(SalesTbl[[#This Row],[Date]],"mmm")</f>
        <v>Mar</v>
      </c>
    </row>
    <row r="105" spans="1:15" x14ac:dyDescent="0.3">
      <c r="A105">
        <v>1104</v>
      </c>
      <c r="B105" t="s">
        <v>117</v>
      </c>
      <c r="C105" t="s">
        <v>21</v>
      </c>
      <c r="D105" t="s">
        <v>35</v>
      </c>
      <c r="E105" t="s">
        <v>54</v>
      </c>
      <c r="F105" t="s">
        <v>17</v>
      </c>
      <c r="G105">
        <v>10</v>
      </c>
      <c r="H105">
        <v>675</v>
      </c>
      <c r="I105">
        <v>6750</v>
      </c>
      <c r="J105">
        <v>5130</v>
      </c>
      <c r="K105">
        <v>1620</v>
      </c>
      <c r="L105" t="s">
        <v>24</v>
      </c>
      <c r="M105" t="s">
        <v>19</v>
      </c>
      <c r="N105" t="str">
        <f>IF(SalesTbl[[#This Row],[Profit]]&gt;180,"High Profit","Low Profit")</f>
        <v>High Profit</v>
      </c>
      <c r="O105" t="str">
        <f>TEXT(SalesTbl[[#This Row],[Date]],"mmm")</f>
        <v>Jun</v>
      </c>
    </row>
    <row r="106" spans="1:15" x14ac:dyDescent="0.3">
      <c r="A106">
        <v>1105</v>
      </c>
      <c r="B106" t="s">
        <v>85</v>
      </c>
      <c r="C106" t="s">
        <v>21</v>
      </c>
      <c r="D106" t="s">
        <v>32</v>
      </c>
      <c r="E106" t="s">
        <v>16</v>
      </c>
      <c r="F106" t="s">
        <v>17</v>
      </c>
      <c r="G106">
        <v>7</v>
      </c>
      <c r="H106">
        <v>344</v>
      </c>
      <c r="I106">
        <v>2408</v>
      </c>
      <c r="J106">
        <v>1685</v>
      </c>
      <c r="K106">
        <v>723</v>
      </c>
      <c r="L106" t="s">
        <v>38</v>
      </c>
      <c r="M106" t="s">
        <v>29</v>
      </c>
      <c r="N106" t="str">
        <f>IF(SalesTbl[[#This Row],[Profit]]&gt;180,"High Profit","Low Profit")</f>
        <v>High Profit</v>
      </c>
      <c r="O106" t="str">
        <f>TEXT(SalesTbl[[#This Row],[Date]],"mmm")</f>
        <v>Jun</v>
      </c>
    </row>
    <row r="107" spans="1:15" x14ac:dyDescent="0.3">
      <c r="A107">
        <v>1753</v>
      </c>
      <c r="B107" t="s">
        <v>125</v>
      </c>
      <c r="C107" t="s">
        <v>40</v>
      </c>
      <c r="D107" t="s">
        <v>15</v>
      </c>
      <c r="E107" t="s">
        <v>41</v>
      </c>
      <c r="F107" t="s">
        <v>17</v>
      </c>
      <c r="G107">
        <v>9</v>
      </c>
      <c r="H107">
        <v>940</v>
      </c>
      <c r="I107">
        <v>8460</v>
      </c>
      <c r="J107">
        <v>6683</v>
      </c>
      <c r="K107">
        <v>1777</v>
      </c>
      <c r="L107" t="s">
        <v>28</v>
      </c>
      <c r="M107" t="s">
        <v>29</v>
      </c>
      <c r="N107" t="str">
        <f>IF(SalesTbl[[#This Row],[Profit]]&gt;180,"High Profit","Low Profit")</f>
        <v>High Profit</v>
      </c>
      <c r="O107" t="str">
        <f>TEXT(SalesTbl[[#This Row],[Date]],"mmm")</f>
        <v>Jun</v>
      </c>
    </row>
    <row r="108" spans="1:15" x14ac:dyDescent="0.3">
      <c r="A108">
        <v>1107</v>
      </c>
      <c r="B108" t="s">
        <v>34</v>
      </c>
      <c r="C108" t="s">
        <v>21</v>
      </c>
      <c r="D108" t="s">
        <v>15</v>
      </c>
      <c r="E108" t="s">
        <v>48</v>
      </c>
      <c r="F108" t="s">
        <v>23</v>
      </c>
      <c r="G108">
        <v>4</v>
      </c>
      <c r="H108">
        <v>442</v>
      </c>
      <c r="I108">
        <v>1768</v>
      </c>
      <c r="J108">
        <v>1414</v>
      </c>
      <c r="K108">
        <v>354</v>
      </c>
      <c r="L108" t="s">
        <v>24</v>
      </c>
      <c r="M108" t="s">
        <v>19</v>
      </c>
      <c r="N108" t="str">
        <f>IF(SalesTbl[[#This Row],[Profit]]&gt;180,"High Profit","Low Profit")</f>
        <v>High Profit</v>
      </c>
      <c r="O108" t="str">
        <f>TEXT(SalesTbl[[#This Row],[Date]],"mmm")</f>
        <v>Mar</v>
      </c>
    </row>
    <row r="109" spans="1:15" x14ac:dyDescent="0.3">
      <c r="A109">
        <v>1703</v>
      </c>
      <c r="B109" t="s">
        <v>171</v>
      </c>
      <c r="C109" t="s">
        <v>40</v>
      </c>
      <c r="D109" t="s">
        <v>15</v>
      </c>
      <c r="E109" t="s">
        <v>54</v>
      </c>
      <c r="F109" t="s">
        <v>17</v>
      </c>
      <c r="G109">
        <v>7</v>
      </c>
      <c r="H109">
        <v>871</v>
      </c>
      <c r="I109">
        <v>6097</v>
      </c>
      <c r="J109">
        <v>4328</v>
      </c>
      <c r="K109">
        <v>1769</v>
      </c>
      <c r="L109" t="s">
        <v>18</v>
      </c>
      <c r="M109" t="s">
        <v>29</v>
      </c>
      <c r="N109" t="str">
        <f>IF(SalesTbl[[#This Row],[Profit]]&gt;180,"High Profit","Low Profit")</f>
        <v>High Profit</v>
      </c>
      <c r="O109" t="str">
        <f>TEXT(SalesTbl[[#This Row],[Date]],"mmm")</f>
        <v>Apr</v>
      </c>
    </row>
    <row r="110" spans="1:15" x14ac:dyDescent="0.3">
      <c r="A110">
        <v>1109</v>
      </c>
      <c r="B110" t="s">
        <v>111</v>
      </c>
      <c r="C110" t="s">
        <v>31</v>
      </c>
      <c r="D110" t="s">
        <v>35</v>
      </c>
      <c r="E110" t="s">
        <v>27</v>
      </c>
      <c r="F110" t="s">
        <v>17</v>
      </c>
      <c r="G110">
        <v>5</v>
      </c>
      <c r="H110">
        <v>289</v>
      </c>
      <c r="I110">
        <v>1445</v>
      </c>
      <c r="J110">
        <v>867</v>
      </c>
      <c r="K110">
        <v>578</v>
      </c>
      <c r="L110" t="s">
        <v>28</v>
      </c>
      <c r="M110" t="s">
        <v>19</v>
      </c>
      <c r="N110" t="str">
        <f>IF(SalesTbl[[#This Row],[Profit]]&gt;180,"High Profit","Low Profit")</f>
        <v>High Profit</v>
      </c>
      <c r="O110" t="str">
        <f>TEXT(SalesTbl[[#This Row],[Date]],"mmm")</f>
        <v>Apr</v>
      </c>
    </row>
    <row r="111" spans="1:15" x14ac:dyDescent="0.3">
      <c r="A111">
        <v>1110</v>
      </c>
      <c r="B111" t="s">
        <v>53</v>
      </c>
      <c r="C111" t="s">
        <v>21</v>
      </c>
      <c r="D111" t="s">
        <v>32</v>
      </c>
      <c r="E111" t="s">
        <v>48</v>
      </c>
      <c r="F111" t="s">
        <v>23</v>
      </c>
      <c r="G111">
        <v>9</v>
      </c>
      <c r="H111">
        <v>647</v>
      </c>
      <c r="I111">
        <v>5823</v>
      </c>
      <c r="J111">
        <v>4250</v>
      </c>
      <c r="K111">
        <v>1573</v>
      </c>
      <c r="L111" t="s">
        <v>28</v>
      </c>
      <c r="M111" t="s">
        <v>19</v>
      </c>
      <c r="N111" t="str">
        <f>IF(SalesTbl[[#This Row],[Profit]]&gt;180,"High Profit","Low Profit")</f>
        <v>High Profit</v>
      </c>
      <c r="O111" t="str">
        <f>TEXT(SalesTbl[[#This Row],[Date]],"mmm")</f>
        <v>Apr</v>
      </c>
    </row>
    <row r="112" spans="1:15" x14ac:dyDescent="0.3">
      <c r="A112">
        <v>1111</v>
      </c>
      <c r="B112" t="s">
        <v>120</v>
      </c>
      <c r="C112" t="s">
        <v>31</v>
      </c>
      <c r="D112" t="s">
        <v>32</v>
      </c>
      <c r="E112" t="s">
        <v>48</v>
      </c>
      <c r="F112" t="s">
        <v>23</v>
      </c>
      <c r="G112">
        <v>4</v>
      </c>
      <c r="H112">
        <v>90</v>
      </c>
      <c r="I112">
        <v>360</v>
      </c>
      <c r="J112">
        <v>230</v>
      </c>
      <c r="K112">
        <v>130</v>
      </c>
      <c r="L112" t="s">
        <v>28</v>
      </c>
      <c r="M112" t="s">
        <v>19</v>
      </c>
      <c r="N112" t="str">
        <f>IF(SalesTbl[[#This Row],[Profit]]&gt;180,"High Profit","Low Profit")</f>
        <v>Low Profit</v>
      </c>
      <c r="O112" t="str">
        <f>TEXT(SalesTbl[[#This Row],[Date]],"mmm")</f>
        <v>Jan</v>
      </c>
    </row>
    <row r="113" spans="1:15" x14ac:dyDescent="0.3">
      <c r="A113">
        <v>1112</v>
      </c>
      <c r="B113" t="s">
        <v>102</v>
      </c>
      <c r="C113" t="s">
        <v>14</v>
      </c>
      <c r="D113" t="s">
        <v>35</v>
      </c>
      <c r="E113" t="s">
        <v>48</v>
      </c>
      <c r="F113" t="s">
        <v>23</v>
      </c>
      <c r="G113">
        <v>6</v>
      </c>
      <c r="H113">
        <v>72</v>
      </c>
      <c r="I113">
        <v>432</v>
      </c>
      <c r="J113">
        <v>332</v>
      </c>
      <c r="K113">
        <v>100</v>
      </c>
      <c r="L113" t="s">
        <v>38</v>
      </c>
      <c r="M113" t="s">
        <v>29</v>
      </c>
      <c r="N113" t="str">
        <f>IF(SalesTbl[[#This Row],[Profit]]&gt;180,"High Profit","Low Profit")</f>
        <v>Low Profit</v>
      </c>
      <c r="O113" t="str">
        <f>TEXT(SalesTbl[[#This Row],[Date]],"mmm")</f>
        <v>May</v>
      </c>
    </row>
    <row r="114" spans="1:15" x14ac:dyDescent="0.3">
      <c r="A114">
        <v>1113</v>
      </c>
      <c r="B114" t="s">
        <v>121</v>
      </c>
      <c r="C114" t="s">
        <v>31</v>
      </c>
      <c r="D114" t="s">
        <v>26</v>
      </c>
      <c r="E114" t="s">
        <v>22</v>
      </c>
      <c r="F114" t="s">
        <v>23</v>
      </c>
      <c r="G114">
        <v>5</v>
      </c>
      <c r="H114">
        <v>238</v>
      </c>
      <c r="I114">
        <v>1190</v>
      </c>
      <c r="J114">
        <v>892</v>
      </c>
      <c r="K114">
        <v>298</v>
      </c>
      <c r="L114" t="s">
        <v>28</v>
      </c>
      <c r="M114" t="s">
        <v>29</v>
      </c>
      <c r="N114" t="str">
        <f>IF(SalesTbl[[#This Row],[Profit]]&gt;180,"High Profit","Low Profit")</f>
        <v>High Profit</v>
      </c>
      <c r="O114" t="str">
        <f>TEXT(SalesTbl[[#This Row],[Date]],"mmm")</f>
        <v>Feb</v>
      </c>
    </row>
    <row r="115" spans="1:15" x14ac:dyDescent="0.3">
      <c r="A115">
        <v>1114</v>
      </c>
      <c r="B115" t="s">
        <v>122</v>
      </c>
      <c r="C115" t="s">
        <v>31</v>
      </c>
      <c r="D115" t="s">
        <v>35</v>
      </c>
      <c r="E115" t="s">
        <v>27</v>
      </c>
      <c r="F115" t="s">
        <v>17</v>
      </c>
      <c r="G115">
        <v>2</v>
      </c>
      <c r="H115">
        <v>614</v>
      </c>
      <c r="I115">
        <v>1228</v>
      </c>
      <c r="J115">
        <v>810</v>
      </c>
      <c r="K115">
        <v>418</v>
      </c>
      <c r="L115" t="s">
        <v>18</v>
      </c>
      <c r="M115" t="s">
        <v>29</v>
      </c>
      <c r="N115" t="str">
        <f>IF(SalesTbl[[#This Row],[Profit]]&gt;180,"High Profit","Low Profit")</f>
        <v>High Profit</v>
      </c>
      <c r="O115" t="str">
        <f>TEXT(SalesTbl[[#This Row],[Date]],"mmm")</f>
        <v>Jan</v>
      </c>
    </row>
    <row r="116" spans="1:15" x14ac:dyDescent="0.3">
      <c r="A116">
        <v>1115</v>
      </c>
      <c r="B116" t="s">
        <v>123</v>
      </c>
      <c r="C116" t="s">
        <v>31</v>
      </c>
      <c r="D116" t="s">
        <v>35</v>
      </c>
      <c r="E116" t="s">
        <v>16</v>
      </c>
      <c r="F116" t="s">
        <v>17</v>
      </c>
      <c r="G116">
        <v>7</v>
      </c>
      <c r="H116">
        <v>214</v>
      </c>
      <c r="I116">
        <v>1498</v>
      </c>
      <c r="J116">
        <v>1108</v>
      </c>
      <c r="K116">
        <v>390</v>
      </c>
      <c r="L116" t="s">
        <v>24</v>
      </c>
      <c r="M116" t="s">
        <v>19</v>
      </c>
      <c r="N116" t="str">
        <f>IF(SalesTbl[[#This Row],[Profit]]&gt;180,"High Profit","Low Profit")</f>
        <v>High Profit</v>
      </c>
      <c r="O116" t="str">
        <f>TEXT(SalesTbl[[#This Row],[Date]],"mmm")</f>
        <v>Jan</v>
      </c>
    </row>
    <row r="117" spans="1:15" x14ac:dyDescent="0.3">
      <c r="A117">
        <v>1116</v>
      </c>
      <c r="B117" t="s">
        <v>115</v>
      </c>
      <c r="C117" t="s">
        <v>14</v>
      </c>
      <c r="D117" t="s">
        <v>32</v>
      </c>
      <c r="E117" t="s">
        <v>16</v>
      </c>
      <c r="F117" t="s">
        <v>17</v>
      </c>
      <c r="G117">
        <v>7</v>
      </c>
      <c r="H117">
        <v>644</v>
      </c>
      <c r="I117">
        <v>4508</v>
      </c>
      <c r="J117">
        <v>3606</v>
      </c>
      <c r="K117">
        <v>902</v>
      </c>
      <c r="L117" t="s">
        <v>28</v>
      </c>
      <c r="M117" t="s">
        <v>19</v>
      </c>
      <c r="N117" t="str">
        <f>IF(SalesTbl[[#This Row],[Profit]]&gt;180,"High Profit","Low Profit")</f>
        <v>High Profit</v>
      </c>
      <c r="O117" t="str">
        <f>TEXT(SalesTbl[[#This Row],[Date]],"mmm")</f>
        <v>Jun</v>
      </c>
    </row>
    <row r="118" spans="1:15" x14ac:dyDescent="0.3">
      <c r="A118">
        <v>1586</v>
      </c>
      <c r="B118" t="s">
        <v>177</v>
      </c>
      <c r="C118" t="s">
        <v>40</v>
      </c>
      <c r="D118" t="s">
        <v>32</v>
      </c>
      <c r="E118" t="s">
        <v>27</v>
      </c>
      <c r="F118" t="s">
        <v>17</v>
      </c>
      <c r="G118">
        <v>9</v>
      </c>
      <c r="H118">
        <v>825</v>
      </c>
      <c r="I118">
        <v>7425</v>
      </c>
      <c r="J118">
        <v>5717</v>
      </c>
      <c r="K118">
        <v>1708</v>
      </c>
      <c r="L118" t="s">
        <v>38</v>
      </c>
      <c r="M118" t="s">
        <v>19</v>
      </c>
      <c r="N118" t="str">
        <f>IF(SalesTbl[[#This Row],[Profit]]&gt;180,"High Profit","Low Profit")</f>
        <v>High Profit</v>
      </c>
      <c r="O118" t="str">
        <f>TEXT(SalesTbl[[#This Row],[Date]],"mmm")</f>
        <v>Feb</v>
      </c>
    </row>
    <row r="119" spans="1:15" x14ac:dyDescent="0.3">
      <c r="A119">
        <v>1118</v>
      </c>
      <c r="B119" t="s">
        <v>124</v>
      </c>
      <c r="C119" t="s">
        <v>31</v>
      </c>
      <c r="D119" t="s">
        <v>32</v>
      </c>
      <c r="E119" t="s">
        <v>48</v>
      </c>
      <c r="F119" t="s">
        <v>23</v>
      </c>
      <c r="G119">
        <v>6</v>
      </c>
      <c r="H119">
        <v>664</v>
      </c>
      <c r="I119">
        <v>3984</v>
      </c>
      <c r="J119">
        <v>2470</v>
      </c>
      <c r="K119">
        <v>1514</v>
      </c>
      <c r="L119" t="s">
        <v>33</v>
      </c>
      <c r="M119" t="s">
        <v>29</v>
      </c>
      <c r="N119" t="str">
        <f>IF(SalesTbl[[#This Row],[Profit]]&gt;180,"High Profit","Low Profit")</f>
        <v>High Profit</v>
      </c>
      <c r="O119" t="str">
        <f>TEXT(SalesTbl[[#This Row],[Date]],"mmm")</f>
        <v>Jan</v>
      </c>
    </row>
    <row r="120" spans="1:15" x14ac:dyDescent="0.3">
      <c r="A120">
        <v>1480</v>
      </c>
      <c r="B120" t="s">
        <v>199</v>
      </c>
      <c r="C120" t="s">
        <v>40</v>
      </c>
      <c r="D120" t="s">
        <v>26</v>
      </c>
      <c r="E120" t="s">
        <v>54</v>
      </c>
      <c r="F120" t="s">
        <v>17</v>
      </c>
      <c r="G120">
        <v>8</v>
      </c>
      <c r="H120">
        <v>759</v>
      </c>
      <c r="I120">
        <v>6072</v>
      </c>
      <c r="J120">
        <v>4371</v>
      </c>
      <c r="K120">
        <v>1701</v>
      </c>
      <c r="L120" t="s">
        <v>38</v>
      </c>
      <c r="M120" t="s">
        <v>19</v>
      </c>
      <c r="N120" t="str">
        <f>IF(SalesTbl[[#This Row],[Profit]]&gt;180,"High Profit","Low Profit")</f>
        <v>High Profit</v>
      </c>
      <c r="O120" t="str">
        <f>TEXT(SalesTbl[[#This Row],[Date]],"mmm")</f>
        <v>Apr</v>
      </c>
    </row>
    <row r="121" spans="1:15" x14ac:dyDescent="0.3">
      <c r="A121">
        <v>1120</v>
      </c>
      <c r="B121" t="s">
        <v>83</v>
      </c>
      <c r="C121" t="s">
        <v>14</v>
      </c>
      <c r="D121" t="s">
        <v>15</v>
      </c>
      <c r="E121" t="s">
        <v>16</v>
      </c>
      <c r="F121" t="s">
        <v>17</v>
      </c>
      <c r="G121">
        <v>2</v>
      </c>
      <c r="H121">
        <v>124</v>
      </c>
      <c r="I121">
        <v>248</v>
      </c>
      <c r="J121">
        <v>148</v>
      </c>
      <c r="K121">
        <v>100</v>
      </c>
      <c r="L121" t="s">
        <v>38</v>
      </c>
      <c r="M121" t="s">
        <v>29</v>
      </c>
      <c r="N121" t="str">
        <f>IF(SalesTbl[[#This Row],[Profit]]&gt;180,"High Profit","Low Profit")</f>
        <v>Low Profit</v>
      </c>
      <c r="O121" t="str">
        <f>TEXT(SalesTbl[[#This Row],[Date]],"mmm")</f>
        <v>Jun</v>
      </c>
    </row>
    <row r="122" spans="1:15" x14ac:dyDescent="0.3">
      <c r="A122">
        <v>1121</v>
      </c>
      <c r="B122" t="s">
        <v>60</v>
      </c>
      <c r="C122" t="s">
        <v>31</v>
      </c>
      <c r="D122" t="s">
        <v>32</v>
      </c>
      <c r="E122" t="s">
        <v>54</v>
      </c>
      <c r="F122" t="s">
        <v>17</v>
      </c>
      <c r="G122">
        <v>9</v>
      </c>
      <c r="H122">
        <v>293</v>
      </c>
      <c r="I122">
        <v>2637</v>
      </c>
      <c r="J122">
        <v>1740</v>
      </c>
      <c r="K122">
        <v>897</v>
      </c>
      <c r="L122" t="s">
        <v>18</v>
      </c>
      <c r="M122" t="s">
        <v>29</v>
      </c>
      <c r="N122" t="str">
        <f>IF(SalesTbl[[#This Row],[Profit]]&gt;180,"High Profit","Low Profit")</f>
        <v>High Profit</v>
      </c>
      <c r="O122" t="str">
        <f>TEXT(SalesTbl[[#This Row],[Date]],"mmm")</f>
        <v>Jan</v>
      </c>
    </row>
    <row r="123" spans="1:15" x14ac:dyDescent="0.3">
      <c r="A123">
        <v>1122</v>
      </c>
      <c r="B123" t="s">
        <v>82</v>
      </c>
      <c r="C123" t="s">
        <v>21</v>
      </c>
      <c r="D123" t="s">
        <v>15</v>
      </c>
      <c r="E123" t="s">
        <v>22</v>
      </c>
      <c r="F123" t="s">
        <v>23</v>
      </c>
      <c r="G123">
        <v>6</v>
      </c>
      <c r="H123">
        <v>167</v>
      </c>
      <c r="I123">
        <v>1002</v>
      </c>
      <c r="J123">
        <v>681</v>
      </c>
      <c r="K123">
        <v>321</v>
      </c>
      <c r="L123" t="s">
        <v>24</v>
      </c>
      <c r="M123" t="s">
        <v>29</v>
      </c>
      <c r="N123" t="str">
        <f>IF(SalesTbl[[#This Row],[Profit]]&gt;180,"High Profit","Low Profit")</f>
        <v>High Profit</v>
      </c>
      <c r="O123" t="str">
        <f>TEXT(SalesTbl[[#This Row],[Date]],"mmm")</f>
        <v>Jan</v>
      </c>
    </row>
    <row r="124" spans="1:15" x14ac:dyDescent="0.3">
      <c r="A124">
        <v>1987</v>
      </c>
      <c r="B124" t="s">
        <v>151</v>
      </c>
      <c r="C124" t="s">
        <v>40</v>
      </c>
      <c r="D124" t="s">
        <v>15</v>
      </c>
      <c r="E124" t="s">
        <v>54</v>
      </c>
      <c r="F124" t="s">
        <v>17</v>
      </c>
      <c r="G124">
        <v>9</v>
      </c>
      <c r="H124">
        <v>933</v>
      </c>
      <c r="I124">
        <v>8397</v>
      </c>
      <c r="J124">
        <v>6717</v>
      </c>
      <c r="K124">
        <v>1680</v>
      </c>
      <c r="L124" t="s">
        <v>18</v>
      </c>
      <c r="M124" t="s">
        <v>29</v>
      </c>
      <c r="N124" t="str">
        <f>IF(SalesTbl[[#This Row],[Profit]]&gt;180,"High Profit","Low Profit")</f>
        <v>High Profit</v>
      </c>
      <c r="O124" t="str">
        <f>TEXT(SalesTbl[[#This Row],[Date]],"mmm")</f>
        <v>Jan</v>
      </c>
    </row>
    <row r="125" spans="1:15" x14ac:dyDescent="0.3">
      <c r="A125">
        <v>1124</v>
      </c>
      <c r="B125" t="s">
        <v>126</v>
      </c>
      <c r="C125" t="s">
        <v>31</v>
      </c>
      <c r="D125" t="s">
        <v>15</v>
      </c>
      <c r="E125" t="s">
        <v>27</v>
      </c>
      <c r="F125" t="s">
        <v>17</v>
      </c>
      <c r="G125">
        <v>6</v>
      </c>
      <c r="H125">
        <v>87</v>
      </c>
      <c r="I125">
        <v>522</v>
      </c>
      <c r="J125">
        <v>354</v>
      </c>
      <c r="K125">
        <v>168</v>
      </c>
      <c r="L125" t="s">
        <v>33</v>
      </c>
      <c r="M125" t="s">
        <v>19</v>
      </c>
      <c r="N125" t="str">
        <f>IF(SalesTbl[[#This Row],[Profit]]&gt;180,"High Profit","Low Profit")</f>
        <v>Low Profit</v>
      </c>
      <c r="O125" t="str">
        <f>TEXT(SalesTbl[[#This Row],[Date]],"mmm")</f>
        <v>May</v>
      </c>
    </row>
    <row r="126" spans="1:15" x14ac:dyDescent="0.3">
      <c r="A126">
        <v>1125</v>
      </c>
      <c r="B126" t="s">
        <v>52</v>
      </c>
      <c r="C126" t="s">
        <v>14</v>
      </c>
      <c r="D126" t="s">
        <v>35</v>
      </c>
      <c r="E126" t="s">
        <v>16</v>
      </c>
      <c r="F126" t="s">
        <v>17</v>
      </c>
      <c r="G126">
        <v>2</v>
      </c>
      <c r="H126">
        <v>490</v>
      </c>
      <c r="I126">
        <v>980</v>
      </c>
      <c r="J126">
        <v>705</v>
      </c>
      <c r="K126">
        <v>275</v>
      </c>
      <c r="L126" t="s">
        <v>18</v>
      </c>
      <c r="M126" t="s">
        <v>29</v>
      </c>
      <c r="N126" t="str">
        <f>IF(SalesTbl[[#This Row],[Profit]]&gt;180,"High Profit","Low Profit")</f>
        <v>High Profit</v>
      </c>
      <c r="O126" t="str">
        <f>TEXT(SalesTbl[[#This Row],[Date]],"mmm")</f>
        <v>Mar</v>
      </c>
    </row>
    <row r="127" spans="1:15" x14ac:dyDescent="0.3">
      <c r="A127">
        <v>1393</v>
      </c>
      <c r="B127" t="s">
        <v>174</v>
      </c>
      <c r="C127" t="s">
        <v>40</v>
      </c>
      <c r="D127" t="s">
        <v>26</v>
      </c>
      <c r="E127" t="s">
        <v>41</v>
      </c>
      <c r="F127" t="s">
        <v>17</v>
      </c>
      <c r="G127">
        <v>10</v>
      </c>
      <c r="H127">
        <v>729</v>
      </c>
      <c r="I127">
        <v>7290</v>
      </c>
      <c r="J127">
        <v>5613</v>
      </c>
      <c r="K127">
        <v>1677</v>
      </c>
      <c r="L127" t="s">
        <v>24</v>
      </c>
      <c r="M127" t="s">
        <v>19</v>
      </c>
      <c r="N127" t="str">
        <f>IF(SalesTbl[[#This Row],[Profit]]&gt;180,"High Profit","Low Profit")</f>
        <v>High Profit</v>
      </c>
      <c r="O127" t="str">
        <f>TEXT(SalesTbl[[#This Row],[Date]],"mmm")</f>
        <v>Mar</v>
      </c>
    </row>
    <row r="128" spans="1:15" x14ac:dyDescent="0.3">
      <c r="A128">
        <v>1127</v>
      </c>
      <c r="B128" t="s">
        <v>123</v>
      </c>
      <c r="C128" t="s">
        <v>31</v>
      </c>
      <c r="D128" t="s">
        <v>35</v>
      </c>
      <c r="E128" t="s">
        <v>27</v>
      </c>
      <c r="F128" t="s">
        <v>17</v>
      </c>
      <c r="G128">
        <v>6</v>
      </c>
      <c r="H128">
        <v>666</v>
      </c>
      <c r="I128">
        <v>3996</v>
      </c>
      <c r="J128">
        <v>2997</v>
      </c>
      <c r="K128">
        <v>999</v>
      </c>
      <c r="L128" t="s">
        <v>24</v>
      </c>
      <c r="M128" t="s">
        <v>29</v>
      </c>
      <c r="N128" t="str">
        <f>IF(SalesTbl[[#This Row],[Profit]]&gt;180,"High Profit","Low Profit")</f>
        <v>High Profit</v>
      </c>
      <c r="O128" t="str">
        <f>TEXT(SalesTbl[[#This Row],[Date]],"mmm")</f>
        <v>Jan</v>
      </c>
    </row>
    <row r="129" spans="1:15" x14ac:dyDescent="0.3">
      <c r="A129">
        <v>1128</v>
      </c>
      <c r="B129" t="s">
        <v>128</v>
      </c>
      <c r="C129" t="s">
        <v>40</v>
      </c>
      <c r="D129" t="s">
        <v>26</v>
      </c>
      <c r="E129" t="s">
        <v>48</v>
      </c>
      <c r="F129" t="s">
        <v>23</v>
      </c>
      <c r="G129">
        <v>10</v>
      </c>
      <c r="H129">
        <v>379</v>
      </c>
      <c r="I129">
        <v>3790</v>
      </c>
      <c r="J129">
        <v>2274</v>
      </c>
      <c r="K129">
        <v>1516</v>
      </c>
      <c r="L129" t="s">
        <v>24</v>
      </c>
      <c r="M129" t="s">
        <v>19</v>
      </c>
      <c r="N129" t="str">
        <f>IF(SalesTbl[[#This Row],[Profit]]&gt;180,"High Profit","Low Profit")</f>
        <v>High Profit</v>
      </c>
      <c r="O129" t="str">
        <f>TEXT(SalesTbl[[#This Row],[Date]],"mmm")</f>
        <v>Jan</v>
      </c>
    </row>
    <row r="130" spans="1:15" x14ac:dyDescent="0.3">
      <c r="A130">
        <v>1129</v>
      </c>
      <c r="B130" t="s">
        <v>100</v>
      </c>
      <c r="C130" t="s">
        <v>40</v>
      </c>
      <c r="D130" t="s">
        <v>32</v>
      </c>
      <c r="E130" t="s">
        <v>22</v>
      </c>
      <c r="F130" t="s">
        <v>23</v>
      </c>
      <c r="G130">
        <v>3</v>
      </c>
      <c r="H130">
        <v>810</v>
      </c>
      <c r="I130">
        <v>2430</v>
      </c>
      <c r="J130">
        <v>1628</v>
      </c>
      <c r="K130">
        <v>802</v>
      </c>
      <c r="L130" t="s">
        <v>33</v>
      </c>
      <c r="M130" t="s">
        <v>19</v>
      </c>
      <c r="N130" t="str">
        <f>IF(SalesTbl[[#This Row],[Profit]]&gt;180,"High Profit","Low Profit")</f>
        <v>High Profit</v>
      </c>
      <c r="O130" t="str">
        <f>TEXT(SalesTbl[[#This Row],[Date]],"mmm")</f>
        <v>Jan</v>
      </c>
    </row>
    <row r="131" spans="1:15" x14ac:dyDescent="0.3">
      <c r="A131">
        <v>1130</v>
      </c>
      <c r="B131" t="s">
        <v>126</v>
      </c>
      <c r="C131" t="s">
        <v>14</v>
      </c>
      <c r="D131" t="s">
        <v>15</v>
      </c>
      <c r="E131" t="s">
        <v>48</v>
      </c>
      <c r="F131" t="s">
        <v>23</v>
      </c>
      <c r="G131">
        <v>9</v>
      </c>
      <c r="H131">
        <v>294</v>
      </c>
      <c r="I131">
        <v>2646</v>
      </c>
      <c r="J131">
        <v>1799</v>
      </c>
      <c r="K131">
        <v>847</v>
      </c>
      <c r="L131" t="s">
        <v>38</v>
      </c>
      <c r="M131" t="s">
        <v>29</v>
      </c>
      <c r="N131" t="str">
        <f>IF(SalesTbl[[#This Row],[Profit]]&gt;180,"High Profit","Low Profit")</f>
        <v>High Profit</v>
      </c>
      <c r="O131" t="str">
        <f>TEXT(SalesTbl[[#This Row],[Date]],"mmm")</f>
        <v>May</v>
      </c>
    </row>
    <row r="132" spans="1:15" x14ac:dyDescent="0.3">
      <c r="A132">
        <v>1131</v>
      </c>
      <c r="B132" t="s">
        <v>129</v>
      </c>
      <c r="C132" t="s">
        <v>31</v>
      </c>
      <c r="D132" t="s">
        <v>35</v>
      </c>
      <c r="E132" t="s">
        <v>48</v>
      </c>
      <c r="F132" t="s">
        <v>23</v>
      </c>
      <c r="G132">
        <v>1</v>
      </c>
      <c r="H132">
        <v>672</v>
      </c>
      <c r="I132">
        <v>672</v>
      </c>
      <c r="J132">
        <v>504</v>
      </c>
      <c r="K132">
        <v>168</v>
      </c>
      <c r="L132" t="s">
        <v>33</v>
      </c>
      <c r="M132" t="s">
        <v>29</v>
      </c>
      <c r="N132" t="str">
        <f>IF(SalesTbl[[#This Row],[Profit]]&gt;180,"High Profit","Low Profit")</f>
        <v>Low Profit</v>
      </c>
      <c r="O132" t="str">
        <f>TEXT(SalesTbl[[#This Row],[Date]],"mmm")</f>
        <v>Mar</v>
      </c>
    </row>
    <row r="133" spans="1:15" x14ac:dyDescent="0.3">
      <c r="A133">
        <v>1132</v>
      </c>
      <c r="B133" t="s">
        <v>130</v>
      </c>
      <c r="C133" t="s">
        <v>31</v>
      </c>
      <c r="D133" t="s">
        <v>26</v>
      </c>
      <c r="E133" t="s">
        <v>27</v>
      </c>
      <c r="F133" t="s">
        <v>17</v>
      </c>
      <c r="G133">
        <v>3</v>
      </c>
      <c r="H133">
        <v>387</v>
      </c>
      <c r="I133">
        <v>1161</v>
      </c>
      <c r="J133">
        <v>696</v>
      </c>
      <c r="K133">
        <v>465</v>
      </c>
      <c r="L133" t="s">
        <v>28</v>
      </c>
      <c r="M133" t="s">
        <v>19</v>
      </c>
      <c r="N133" t="str">
        <f>IF(SalesTbl[[#This Row],[Profit]]&gt;180,"High Profit","Low Profit")</f>
        <v>High Profit</v>
      </c>
      <c r="O133" t="str">
        <f>TEXT(SalesTbl[[#This Row],[Date]],"mmm")</f>
        <v>Mar</v>
      </c>
    </row>
    <row r="134" spans="1:15" x14ac:dyDescent="0.3">
      <c r="A134">
        <v>1133</v>
      </c>
      <c r="B134" t="s">
        <v>100</v>
      </c>
      <c r="C134" t="s">
        <v>31</v>
      </c>
      <c r="D134" t="s">
        <v>35</v>
      </c>
      <c r="E134" t="s">
        <v>48</v>
      </c>
      <c r="F134" t="s">
        <v>23</v>
      </c>
      <c r="G134">
        <v>8</v>
      </c>
      <c r="H134">
        <v>986</v>
      </c>
      <c r="I134">
        <v>7888</v>
      </c>
      <c r="J134">
        <v>4732</v>
      </c>
      <c r="K134">
        <v>3156</v>
      </c>
      <c r="L134" t="s">
        <v>33</v>
      </c>
      <c r="M134" t="s">
        <v>19</v>
      </c>
      <c r="N134" t="str">
        <f>IF(SalesTbl[[#This Row],[Profit]]&gt;180,"High Profit","Low Profit")</f>
        <v>High Profit</v>
      </c>
      <c r="O134" t="str">
        <f>TEXT(SalesTbl[[#This Row],[Date]],"mmm")</f>
        <v>Jan</v>
      </c>
    </row>
    <row r="135" spans="1:15" x14ac:dyDescent="0.3">
      <c r="A135">
        <v>1134</v>
      </c>
      <c r="B135" t="s">
        <v>93</v>
      </c>
      <c r="C135" t="s">
        <v>21</v>
      </c>
      <c r="D135" t="s">
        <v>35</v>
      </c>
      <c r="E135" t="s">
        <v>48</v>
      </c>
      <c r="F135" t="s">
        <v>23</v>
      </c>
      <c r="G135">
        <v>2</v>
      </c>
      <c r="H135">
        <v>205</v>
      </c>
      <c r="I135">
        <v>410</v>
      </c>
      <c r="J135">
        <v>250</v>
      </c>
      <c r="K135">
        <v>160</v>
      </c>
      <c r="L135" t="s">
        <v>18</v>
      </c>
      <c r="M135" t="s">
        <v>19</v>
      </c>
      <c r="N135" t="str">
        <f>IF(SalesTbl[[#This Row],[Profit]]&gt;180,"High Profit","Low Profit")</f>
        <v>Low Profit</v>
      </c>
      <c r="O135" t="str">
        <f>TEXT(SalesTbl[[#This Row],[Date]],"mmm")</f>
        <v>Jun</v>
      </c>
    </row>
    <row r="136" spans="1:15" x14ac:dyDescent="0.3">
      <c r="A136">
        <v>1135</v>
      </c>
      <c r="B136" t="s">
        <v>131</v>
      </c>
      <c r="C136" t="s">
        <v>31</v>
      </c>
      <c r="D136" t="s">
        <v>26</v>
      </c>
      <c r="E136" t="s">
        <v>27</v>
      </c>
      <c r="F136" t="s">
        <v>17</v>
      </c>
      <c r="G136">
        <v>10</v>
      </c>
      <c r="H136">
        <v>492</v>
      </c>
      <c r="I136">
        <v>4920</v>
      </c>
      <c r="J136">
        <v>3886</v>
      </c>
      <c r="K136">
        <v>1034</v>
      </c>
      <c r="L136" t="s">
        <v>28</v>
      </c>
      <c r="M136" t="s">
        <v>19</v>
      </c>
      <c r="N136" t="str">
        <f>IF(SalesTbl[[#This Row],[Profit]]&gt;180,"High Profit","Low Profit")</f>
        <v>High Profit</v>
      </c>
      <c r="O136" t="str">
        <f>TEXT(SalesTbl[[#This Row],[Date]],"mmm")</f>
        <v>May</v>
      </c>
    </row>
    <row r="137" spans="1:15" x14ac:dyDescent="0.3">
      <c r="A137">
        <v>1136</v>
      </c>
      <c r="B137" t="s">
        <v>95</v>
      </c>
      <c r="C137" t="s">
        <v>14</v>
      </c>
      <c r="D137" t="s">
        <v>35</v>
      </c>
      <c r="E137" t="s">
        <v>16</v>
      </c>
      <c r="F137" t="s">
        <v>17</v>
      </c>
      <c r="G137">
        <v>4</v>
      </c>
      <c r="H137">
        <v>135</v>
      </c>
      <c r="I137">
        <v>540</v>
      </c>
      <c r="J137">
        <v>378</v>
      </c>
      <c r="K137">
        <v>162</v>
      </c>
      <c r="L137" t="s">
        <v>28</v>
      </c>
      <c r="M137" t="s">
        <v>19</v>
      </c>
      <c r="N137" t="str">
        <f>IF(SalesTbl[[#This Row],[Profit]]&gt;180,"High Profit","Low Profit")</f>
        <v>Low Profit</v>
      </c>
      <c r="O137" t="str">
        <f>TEXT(SalesTbl[[#This Row],[Date]],"mmm")</f>
        <v>Feb</v>
      </c>
    </row>
    <row r="138" spans="1:15" x14ac:dyDescent="0.3">
      <c r="A138">
        <v>1988</v>
      </c>
      <c r="B138" t="s">
        <v>83</v>
      </c>
      <c r="C138" t="s">
        <v>40</v>
      </c>
      <c r="D138" t="s">
        <v>35</v>
      </c>
      <c r="E138" t="s">
        <v>27</v>
      </c>
      <c r="F138" t="s">
        <v>17</v>
      </c>
      <c r="G138">
        <v>8</v>
      </c>
      <c r="H138">
        <v>849</v>
      </c>
      <c r="I138">
        <v>6792</v>
      </c>
      <c r="J138">
        <v>5161</v>
      </c>
      <c r="K138">
        <v>1631</v>
      </c>
      <c r="L138" t="s">
        <v>24</v>
      </c>
      <c r="M138" t="s">
        <v>29</v>
      </c>
      <c r="N138" t="str">
        <f>IF(SalesTbl[[#This Row],[Profit]]&gt;180,"High Profit","Low Profit")</f>
        <v>High Profit</v>
      </c>
      <c r="O138" t="str">
        <f>TEXT(SalesTbl[[#This Row],[Date]],"mmm")</f>
        <v>Jun</v>
      </c>
    </row>
    <row r="139" spans="1:15" x14ac:dyDescent="0.3">
      <c r="A139">
        <v>1138</v>
      </c>
      <c r="B139" t="s">
        <v>25</v>
      </c>
      <c r="C139" t="s">
        <v>31</v>
      </c>
      <c r="D139" t="s">
        <v>26</v>
      </c>
      <c r="E139" t="s">
        <v>16</v>
      </c>
      <c r="F139" t="s">
        <v>17</v>
      </c>
      <c r="G139">
        <v>3</v>
      </c>
      <c r="H139">
        <v>943</v>
      </c>
      <c r="I139">
        <v>2829</v>
      </c>
      <c r="J139">
        <v>2008</v>
      </c>
      <c r="K139">
        <v>821</v>
      </c>
      <c r="L139" t="s">
        <v>33</v>
      </c>
      <c r="M139" t="s">
        <v>29</v>
      </c>
      <c r="N139" t="str">
        <f>IF(SalesTbl[[#This Row],[Profit]]&gt;180,"High Profit","Low Profit")</f>
        <v>High Profit</v>
      </c>
      <c r="O139" t="str">
        <f>TEXT(SalesTbl[[#This Row],[Date]],"mmm")</f>
        <v>Feb</v>
      </c>
    </row>
    <row r="140" spans="1:15" x14ac:dyDescent="0.3">
      <c r="A140">
        <v>1139</v>
      </c>
      <c r="B140" t="s">
        <v>133</v>
      </c>
      <c r="C140" t="s">
        <v>21</v>
      </c>
      <c r="D140" t="s">
        <v>32</v>
      </c>
      <c r="E140" t="s">
        <v>27</v>
      </c>
      <c r="F140" t="s">
        <v>17</v>
      </c>
      <c r="G140">
        <v>10</v>
      </c>
      <c r="H140">
        <v>95</v>
      </c>
      <c r="I140">
        <v>950</v>
      </c>
      <c r="J140">
        <v>684</v>
      </c>
      <c r="K140">
        <v>266</v>
      </c>
      <c r="L140" t="s">
        <v>24</v>
      </c>
      <c r="M140" t="s">
        <v>29</v>
      </c>
      <c r="N140" t="str">
        <f>IF(SalesTbl[[#This Row],[Profit]]&gt;180,"High Profit","Low Profit")</f>
        <v>High Profit</v>
      </c>
      <c r="O140" t="str">
        <f>TEXT(SalesTbl[[#This Row],[Date]],"mmm")</f>
        <v>May</v>
      </c>
    </row>
    <row r="141" spans="1:15" x14ac:dyDescent="0.3">
      <c r="A141">
        <v>1140</v>
      </c>
      <c r="B141" t="s">
        <v>114</v>
      </c>
      <c r="C141" t="s">
        <v>21</v>
      </c>
      <c r="D141" t="s">
        <v>15</v>
      </c>
      <c r="E141" t="s">
        <v>48</v>
      </c>
      <c r="F141" t="s">
        <v>23</v>
      </c>
      <c r="G141">
        <v>1</v>
      </c>
      <c r="H141">
        <v>700</v>
      </c>
      <c r="I141">
        <v>700</v>
      </c>
      <c r="J141">
        <v>448</v>
      </c>
      <c r="K141">
        <v>252</v>
      </c>
      <c r="L141" t="s">
        <v>18</v>
      </c>
      <c r="M141" t="s">
        <v>19</v>
      </c>
      <c r="N141" t="str">
        <f>IF(SalesTbl[[#This Row],[Profit]]&gt;180,"High Profit","Low Profit")</f>
        <v>High Profit</v>
      </c>
      <c r="O141" t="str">
        <f>TEXT(SalesTbl[[#This Row],[Date]],"mmm")</f>
        <v>Jan</v>
      </c>
    </row>
    <row r="142" spans="1:15" x14ac:dyDescent="0.3">
      <c r="A142">
        <v>1141</v>
      </c>
      <c r="B142" t="s">
        <v>117</v>
      </c>
      <c r="C142" t="s">
        <v>40</v>
      </c>
      <c r="D142" t="s">
        <v>15</v>
      </c>
      <c r="E142" t="s">
        <v>22</v>
      </c>
      <c r="F142" t="s">
        <v>23</v>
      </c>
      <c r="G142">
        <v>6</v>
      </c>
      <c r="H142">
        <v>560</v>
      </c>
      <c r="I142">
        <v>3360</v>
      </c>
      <c r="J142">
        <v>2385</v>
      </c>
      <c r="K142">
        <v>975</v>
      </c>
      <c r="L142" t="s">
        <v>18</v>
      </c>
      <c r="M142" t="s">
        <v>19</v>
      </c>
      <c r="N142" t="str">
        <f>IF(SalesTbl[[#This Row],[Profit]]&gt;180,"High Profit","Low Profit")</f>
        <v>High Profit</v>
      </c>
      <c r="O142" t="str">
        <f>TEXT(SalesTbl[[#This Row],[Date]],"mmm")</f>
        <v>Jun</v>
      </c>
    </row>
    <row r="143" spans="1:15" x14ac:dyDescent="0.3">
      <c r="A143">
        <v>1142</v>
      </c>
      <c r="B143" t="s">
        <v>134</v>
      </c>
      <c r="C143" t="s">
        <v>14</v>
      </c>
      <c r="D143" t="s">
        <v>15</v>
      </c>
      <c r="E143" t="s">
        <v>27</v>
      </c>
      <c r="F143" t="s">
        <v>17</v>
      </c>
      <c r="G143">
        <v>8</v>
      </c>
      <c r="H143">
        <v>53</v>
      </c>
      <c r="I143">
        <v>424</v>
      </c>
      <c r="J143">
        <v>318</v>
      </c>
      <c r="K143">
        <v>106</v>
      </c>
      <c r="L143" t="s">
        <v>33</v>
      </c>
      <c r="M143" t="s">
        <v>29</v>
      </c>
      <c r="N143" t="str">
        <f>IF(SalesTbl[[#This Row],[Profit]]&gt;180,"High Profit","Low Profit")</f>
        <v>Low Profit</v>
      </c>
      <c r="O143" t="str">
        <f>TEXT(SalesTbl[[#This Row],[Date]],"mmm")</f>
        <v>Jan</v>
      </c>
    </row>
    <row r="144" spans="1:15" x14ac:dyDescent="0.3">
      <c r="A144">
        <v>1143</v>
      </c>
      <c r="B144" t="s">
        <v>49</v>
      </c>
      <c r="C144" t="s">
        <v>40</v>
      </c>
      <c r="D144" t="s">
        <v>15</v>
      </c>
      <c r="E144" t="s">
        <v>22</v>
      </c>
      <c r="F144" t="s">
        <v>23</v>
      </c>
      <c r="G144">
        <v>7</v>
      </c>
      <c r="H144">
        <v>973</v>
      </c>
      <c r="I144">
        <v>6811</v>
      </c>
      <c r="J144">
        <v>4222</v>
      </c>
      <c r="K144">
        <v>2589</v>
      </c>
      <c r="L144" t="s">
        <v>18</v>
      </c>
      <c r="M144" t="s">
        <v>29</v>
      </c>
      <c r="N144" t="str">
        <f>IF(SalesTbl[[#This Row],[Profit]]&gt;180,"High Profit","Low Profit")</f>
        <v>High Profit</v>
      </c>
      <c r="O144" t="str">
        <f>TEXT(SalesTbl[[#This Row],[Date]],"mmm")</f>
        <v>Jan</v>
      </c>
    </row>
    <row r="145" spans="1:15" x14ac:dyDescent="0.3">
      <c r="A145">
        <v>1144</v>
      </c>
      <c r="B145" t="s">
        <v>97</v>
      </c>
      <c r="C145" t="s">
        <v>40</v>
      </c>
      <c r="D145" t="s">
        <v>32</v>
      </c>
      <c r="E145" t="s">
        <v>22</v>
      </c>
      <c r="F145" t="s">
        <v>23</v>
      </c>
      <c r="G145">
        <v>6</v>
      </c>
      <c r="H145">
        <v>998</v>
      </c>
      <c r="I145">
        <v>5988</v>
      </c>
      <c r="J145">
        <v>4550</v>
      </c>
      <c r="K145">
        <v>1438</v>
      </c>
      <c r="L145" t="s">
        <v>38</v>
      </c>
      <c r="M145" t="s">
        <v>29</v>
      </c>
      <c r="N145" t="str">
        <f>IF(SalesTbl[[#This Row],[Profit]]&gt;180,"High Profit","Low Profit")</f>
        <v>High Profit</v>
      </c>
      <c r="O145" t="str">
        <f>TEXT(SalesTbl[[#This Row],[Date]],"mmm")</f>
        <v>Apr</v>
      </c>
    </row>
    <row r="146" spans="1:15" x14ac:dyDescent="0.3">
      <c r="A146">
        <v>1145</v>
      </c>
      <c r="B146" t="s">
        <v>135</v>
      </c>
      <c r="C146" t="s">
        <v>31</v>
      </c>
      <c r="D146" t="s">
        <v>32</v>
      </c>
      <c r="E146" t="s">
        <v>22</v>
      </c>
      <c r="F146" t="s">
        <v>23</v>
      </c>
      <c r="G146">
        <v>9</v>
      </c>
      <c r="H146">
        <v>320</v>
      </c>
      <c r="I146">
        <v>2880</v>
      </c>
      <c r="J146">
        <v>1872</v>
      </c>
      <c r="K146">
        <v>1008</v>
      </c>
      <c r="L146" t="s">
        <v>28</v>
      </c>
      <c r="M146" t="s">
        <v>19</v>
      </c>
      <c r="N146" t="str">
        <f>IF(SalesTbl[[#This Row],[Profit]]&gt;180,"High Profit","Low Profit")</f>
        <v>High Profit</v>
      </c>
      <c r="O146" t="str">
        <f>TEXT(SalesTbl[[#This Row],[Date]],"mmm")</f>
        <v>May</v>
      </c>
    </row>
    <row r="147" spans="1:15" x14ac:dyDescent="0.3">
      <c r="A147">
        <v>1146</v>
      </c>
      <c r="B147" t="s">
        <v>136</v>
      </c>
      <c r="C147" t="s">
        <v>31</v>
      </c>
      <c r="D147" t="s">
        <v>15</v>
      </c>
      <c r="E147" t="s">
        <v>41</v>
      </c>
      <c r="F147" t="s">
        <v>17</v>
      </c>
      <c r="G147">
        <v>3</v>
      </c>
      <c r="H147">
        <v>669</v>
      </c>
      <c r="I147">
        <v>2007</v>
      </c>
      <c r="J147">
        <v>1384</v>
      </c>
      <c r="K147">
        <v>623</v>
      </c>
      <c r="L147" t="s">
        <v>33</v>
      </c>
      <c r="M147" t="s">
        <v>19</v>
      </c>
      <c r="N147" t="str">
        <f>IF(SalesTbl[[#This Row],[Profit]]&gt;180,"High Profit","Low Profit")</f>
        <v>High Profit</v>
      </c>
      <c r="O147" t="str">
        <f>TEXT(SalesTbl[[#This Row],[Date]],"mmm")</f>
        <v>Feb</v>
      </c>
    </row>
    <row r="148" spans="1:15" x14ac:dyDescent="0.3">
      <c r="A148">
        <v>1147</v>
      </c>
      <c r="B148" t="s">
        <v>125</v>
      </c>
      <c r="C148" t="s">
        <v>21</v>
      </c>
      <c r="D148" t="s">
        <v>26</v>
      </c>
      <c r="E148" t="s">
        <v>48</v>
      </c>
      <c r="F148" t="s">
        <v>23</v>
      </c>
      <c r="G148">
        <v>9</v>
      </c>
      <c r="H148">
        <v>190</v>
      </c>
      <c r="I148">
        <v>1710</v>
      </c>
      <c r="J148">
        <v>1179</v>
      </c>
      <c r="K148">
        <v>531</v>
      </c>
      <c r="L148" t="s">
        <v>18</v>
      </c>
      <c r="M148" t="s">
        <v>29</v>
      </c>
      <c r="N148" t="str">
        <f>IF(SalesTbl[[#This Row],[Profit]]&gt;180,"High Profit","Low Profit")</f>
        <v>High Profit</v>
      </c>
      <c r="O148" t="str">
        <f>TEXT(SalesTbl[[#This Row],[Date]],"mmm")</f>
        <v>Jun</v>
      </c>
    </row>
    <row r="149" spans="1:15" x14ac:dyDescent="0.3">
      <c r="A149">
        <v>1148</v>
      </c>
      <c r="B149" t="s">
        <v>43</v>
      </c>
      <c r="C149" t="s">
        <v>14</v>
      </c>
      <c r="D149" t="s">
        <v>26</v>
      </c>
      <c r="E149" t="s">
        <v>41</v>
      </c>
      <c r="F149" t="s">
        <v>17</v>
      </c>
      <c r="G149">
        <v>1</v>
      </c>
      <c r="H149">
        <v>735</v>
      </c>
      <c r="I149">
        <v>735</v>
      </c>
      <c r="J149">
        <v>492</v>
      </c>
      <c r="K149">
        <v>243</v>
      </c>
      <c r="L149" t="s">
        <v>38</v>
      </c>
      <c r="M149" t="s">
        <v>19</v>
      </c>
      <c r="N149" t="str">
        <f>IF(SalesTbl[[#This Row],[Profit]]&gt;180,"High Profit","Low Profit")</f>
        <v>High Profit</v>
      </c>
      <c r="O149" t="str">
        <f>TEXT(SalesTbl[[#This Row],[Date]],"mmm")</f>
        <v>Apr</v>
      </c>
    </row>
    <row r="150" spans="1:15" x14ac:dyDescent="0.3">
      <c r="A150">
        <v>1149</v>
      </c>
      <c r="B150" t="s">
        <v>137</v>
      </c>
      <c r="C150" t="s">
        <v>40</v>
      </c>
      <c r="D150" t="s">
        <v>35</v>
      </c>
      <c r="E150" t="s">
        <v>22</v>
      </c>
      <c r="F150" t="s">
        <v>23</v>
      </c>
      <c r="G150">
        <v>7</v>
      </c>
      <c r="H150">
        <v>370</v>
      </c>
      <c r="I150">
        <v>2590</v>
      </c>
      <c r="J150">
        <v>1942</v>
      </c>
      <c r="K150">
        <v>648</v>
      </c>
      <c r="L150" t="s">
        <v>38</v>
      </c>
      <c r="M150" t="s">
        <v>29</v>
      </c>
      <c r="N150" t="str">
        <f>IF(SalesTbl[[#This Row],[Profit]]&gt;180,"High Profit","Low Profit")</f>
        <v>High Profit</v>
      </c>
      <c r="O150" t="str">
        <f>TEXT(SalesTbl[[#This Row],[Date]],"mmm")</f>
        <v>Feb</v>
      </c>
    </row>
    <row r="151" spans="1:15" x14ac:dyDescent="0.3">
      <c r="A151">
        <v>1150</v>
      </c>
      <c r="B151" t="s">
        <v>100</v>
      </c>
      <c r="C151" t="s">
        <v>21</v>
      </c>
      <c r="D151" t="s">
        <v>35</v>
      </c>
      <c r="E151" t="s">
        <v>41</v>
      </c>
      <c r="F151" t="s">
        <v>17</v>
      </c>
      <c r="G151">
        <v>4</v>
      </c>
      <c r="H151">
        <v>458</v>
      </c>
      <c r="I151">
        <v>1832</v>
      </c>
      <c r="J151">
        <v>1428</v>
      </c>
      <c r="K151">
        <v>404</v>
      </c>
      <c r="L151" t="s">
        <v>18</v>
      </c>
      <c r="M151" t="s">
        <v>29</v>
      </c>
      <c r="N151" t="str">
        <f>IF(SalesTbl[[#This Row],[Profit]]&gt;180,"High Profit","Low Profit")</f>
        <v>High Profit</v>
      </c>
      <c r="O151" t="str">
        <f>TEXT(SalesTbl[[#This Row],[Date]],"mmm")</f>
        <v>Jan</v>
      </c>
    </row>
    <row r="152" spans="1:15" x14ac:dyDescent="0.3">
      <c r="A152">
        <v>1151</v>
      </c>
      <c r="B152" t="s">
        <v>138</v>
      </c>
      <c r="C152" t="s">
        <v>40</v>
      </c>
      <c r="D152" t="s">
        <v>15</v>
      </c>
      <c r="E152" t="s">
        <v>22</v>
      </c>
      <c r="F152" t="s">
        <v>23</v>
      </c>
      <c r="G152">
        <v>8</v>
      </c>
      <c r="H152">
        <v>927</v>
      </c>
      <c r="I152">
        <v>7416</v>
      </c>
      <c r="J152">
        <v>4894</v>
      </c>
      <c r="K152">
        <v>2522</v>
      </c>
      <c r="L152" t="s">
        <v>28</v>
      </c>
      <c r="M152" t="s">
        <v>29</v>
      </c>
      <c r="N152" t="str">
        <f>IF(SalesTbl[[#This Row],[Profit]]&gt;180,"High Profit","Low Profit")</f>
        <v>High Profit</v>
      </c>
      <c r="O152" t="str">
        <f>TEXT(SalesTbl[[#This Row],[Date]],"mmm")</f>
        <v>May</v>
      </c>
    </row>
    <row r="153" spans="1:15" x14ac:dyDescent="0.3">
      <c r="A153">
        <v>1152</v>
      </c>
      <c r="B153" t="s">
        <v>139</v>
      </c>
      <c r="C153" t="s">
        <v>21</v>
      </c>
      <c r="D153" t="s">
        <v>26</v>
      </c>
      <c r="E153" t="s">
        <v>41</v>
      </c>
      <c r="F153" t="s">
        <v>17</v>
      </c>
      <c r="G153">
        <v>6</v>
      </c>
      <c r="H153">
        <v>696</v>
      </c>
      <c r="I153">
        <v>4176</v>
      </c>
      <c r="J153">
        <v>2547</v>
      </c>
      <c r="K153">
        <v>1629</v>
      </c>
      <c r="L153" t="s">
        <v>28</v>
      </c>
      <c r="M153" t="s">
        <v>29</v>
      </c>
      <c r="N153" t="str">
        <f>IF(SalesTbl[[#This Row],[Profit]]&gt;180,"High Profit","Low Profit")</f>
        <v>High Profit</v>
      </c>
      <c r="O153" t="str">
        <f>TEXT(SalesTbl[[#This Row],[Date]],"mmm")</f>
        <v>Jun</v>
      </c>
    </row>
    <row r="154" spans="1:15" x14ac:dyDescent="0.3">
      <c r="A154">
        <v>1153</v>
      </c>
      <c r="B154" t="s">
        <v>140</v>
      </c>
      <c r="C154" t="s">
        <v>31</v>
      </c>
      <c r="D154" t="s">
        <v>32</v>
      </c>
      <c r="E154" t="s">
        <v>54</v>
      </c>
      <c r="F154" t="s">
        <v>17</v>
      </c>
      <c r="G154">
        <v>2</v>
      </c>
      <c r="H154">
        <v>747</v>
      </c>
      <c r="I154">
        <v>1494</v>
      </c>
      <c r="J154">
        <v>971</v>
      </c>
      <c r="K154">
        <v>523</v>
      </c>
      <c r="L154" t="s">
        <v>38</v>
      </c>
      <c r="M154" t="s">
        <v>29</v>
      </c>
      <c r="N154" t="str">
        <f>IF(SalesTbl[[#This Row],[Profit]]&gt;180,"High Profit","Low Profit")</f>
        <v>High Profit</v>
      </c>
      <c r="O154" t="str">
        <f>TEXT(SalesTbl[[#This Row],[Date]],"mmm")</f>
        <v>May</v>
      </c>
    </row>
    <row r="155" spans="1:15" x14ac:dyDescent="0.3">
      <c r="A155">
        <v>1154</v>
      </c>
      <c r="B155" t="s">
        <v>124</v>
      </c>
      <c r="C155" t="s">
        <v>14</v>
      </c>
      <c r="D155" t="s">
        <v>32</v>
      </c>
      <c r="E155" t="s">
        <v>48</v>
      </c>
      <c r="F155" t="s">
        <v>23</v>
      </c>
      <c r="G155">
        <v>7</v>
      </c>
      <c r="H155">
        <v>896</v>
      </c>
      <c r="I155">
        <v>6272</v>
      </c>
      <c r="J155">
        <v>4327</v>
      </c>
      <c r="K155">
        <v>1945</v>
      </c>
      <c r="L155" t="s">
        <v>33</v>
      </c>
      <c r="M155" t="s">
        <v>19</v>
      </c>
      <c r="N155" t="str">
        <f>IF(SalesTbl[[#This Row],[Profit]]&gt;180,"High Profit","Low Profit")</f>
        <v>High Profit</v>
      </c>
      <c r="O155" t="str">
        <f>TEXT(SalesTbl[[#This Row],[Date]],"mmm")</f>
        <v>Jan</v>
      </c>
    </row>
    <row r="156" spans="1:15" x14ac:dyDescent="0.3">
      <c r="A156">
        <v>1155</v>
      </c>
      <c r="B156" t="s">
        <v>141</v>
      </c>
      <c r="C156" t="s">
        <v>40</v>
      </c>
      <c r="D156" t="s">
        <v>15</v>
      </c>
      <c r="E156" t="s">
        <v>48</v>
      </c>
      <c r="F156" t="s">
        <v>23</v>
      </c>
      <c r="G156">
        <v>6</v>
      </c>
      <c r="H156">
        <v>241</v>
      </c>
      <c r="I156">
        <v>1446</v>
      </c>
      <c r="J156">
        <v>1070</v>
      </c>
      <c r="K156">
        <v>376</v>
      </c>
      <c r="L156" t="s">
        <v>38</v>
      </c>
      <c r="M156" t="s">
        <v>29</v>
      </c>
      <c r="N156" t="str">
        <f>IF(SalesTbl[[#This Row],[Profit]]&gt;180,"High Profit","Low Profit")</f>
        <v>High Profit</v>
      </c>
      <c r="O156" t="str">
        <f>TEXT(SalesTbl[[#This Row],[Date]],"mmm")</f>
        <v>Jan</v>
      </c>
    </row>
    <row r="157" spans="1:15" x14ac:dyDescent="0.3">
      <c r="A157">
        <v>1317</v>
      </c>
      <c r="B157" t="s">
        <v>188</v>
      </c>
      <c r="C157" t="s">
        <v>40</v>
      </c>
      <c r="D157" t="s">
        <v>26</v>
      </c>
      <c r="E157" t="s">
        <v>27</v>
      </c>
      <c r="F157" t="s">
        <v>17</v>
      </c>
      <c r="G157">
        <v>6</v>
      </c>
      <c r="H157">
        <v>692</v>
      </c>
      <c r="I157">
        <v>4152</v>
      </c>
      <c r="J157">
        <v>2532</v>
      </c>
      <c r="K157">
        <v>1620</v>
      </c>
      <c r="L157" t="s">
        <v>24</v>
      </c>
      <c r="M157" t="s">
        <v>19</v>
      </c>
      <c r="N157" t="str">
        <f>IF(SalesTbl[[#This Row],[Profit]]&gt;180,"High Profit","Low Profit")</f>
        <v>High Profit</v>
      </c>
      <c r="O157" t="str">
        <f>TEXT(SalesTbl[[#This Row],[Date]],"mmm")</f>
        <v>Jun</v>
      </c>
    </row>
    <row r="158" spans="1:15" x14ac:dyDescent="0.3">
      <c r="A158">
        <v>1510</v>
      </c>
      <c r="B158" t="s">
        <v>182</v>
      </c>
      <c r="C158" t="s">
        <v>40</v>
      </c>
      <c r="D158" t="s">
        <v>32</v>
      </c>
      <c r="E158" t="s">
        <v>27</v>
      </c>
      <c r="F158" t="s">
        <v>17</v>
      </c>
      <c r="G158">
        <v>8</v>
      </c>
      <c r="H158">
        <v>530</v>
      </c>
      <c r="I158">
        <v>4240</v>
      </c>
      <c r="J158">
        <v>2628</v>
      </c>
      <c r="K158">
        <v>1612</v>
      </c>
      <c r="L158" t="s">
        <v>28</v>
      </c>
      <c r="M158" t="s">
        <v>29</v>
      </c>
      <c r="N158" t="str">
        <f>IF(SalesTbl[[#This Row],[Profit]]&gt;180,"High Profit","Low Profit")</f>
        <v>High Profit</v>
      </c>
      <c r="O158" t="str">
        <f>TEXT(SalesTbl[[#This Row],[Date]],"mmm")</f>
        <v>Mar</v>
      </c>
    </row>
    <row r="159" spans="1:15" x14ac:dyDescent="0.3">
      <c r="A159">
        <v>1158</v>
      </c>
      <c r="B159" t="s">
        <v>98</v>
      </c>
      <c r="C159" t="s">
        <v>21</v>
      </c>
      <c r="D159" t="s">
        <v>35</v>
      </c>
      <c r="E159" t="s">
        <v>41</v>
      </c>
      <c r="F159" t="s">
        <v>17</v>
      </c>
      <c r="G159">
        <v>6</v>
      </c>
      <c r="H159">
        <v>421</v>
      </c>
      <c r="I159">
        <v>2526</v>
      </c>
      <c r="J159">
        <v>1894</v>
      </c>
      <c r="K159">
        <v>632</v>
      </c>
      <c r="L159" t="s">
        <v>18</v>
      </c>
      <c r="M159" t="s">
        <v>29</v>
      </c>
      <c r="N159" t="str">
        <f>IF(SalesTbl[[#This Row],[Profit]]&gt;180,"High Profit","Low Profit")</f>
        <v>High Profit</v>
      </c>
      <c r="O159" t="str">
        <f>TEXT(SalesTbl[[#This Row],[Date]],"mmm")</f>
        <v>May</v>
      </c>
    </row>
    <row r="160" spans="1:15" x14ac:dyDescent="0.3">
      <c r="A160">
        <v>1159</v>
      </c>
      <c r="B160" t="s">
        <v>97</v>
      </c>
      <c r="C160" t="s">
        <v>21</v>
      </c>
      <c r="D160" t="s">
        <v>35</v>
      </c>
      <c r="E160" t="s">
        <v>22</v>
      </c>
      <c r="F160" t="s">
        <v>23</v>
      </c>
      <c r="G160">
        <v>3</v>
      </c>
      <c r="H160">
        <v>884</v>
      </c>
      <c r="I160">
        <v>2652</v>
      </c>
      <c r="J160">
        <v>1909</v>
      </c>
      <c r="K160">
        <v>743</v>
      </c>
      <c r="L160" t="s">
        <v>28</v>
      </c>
      <c r="M160" t="s">
        <v>29</v>
      </c>
      <c r="N160" t="str">
        <f>IF(SalesTbl[[#This Row],[Profit]]&gt;180,"High Profit","Low Profit")</f>
        <v>High Profit</v>
      </c>
      <c r="O160" t="str">
        <f>TEXT(SalesTbl[[#This Row],[Date]],"mmm")</f>
        <v>Apr</v>
      </c>
    </row>
    <row r="161" spans="1:15" x14ac:dyDescent="0.3">
      <c r="A161">
        <v>1912</v>
      </c>
      <c r="B161" t="s">
        <v>135</v>
      </c>
      <c r="C161" t="s">
        <v>40</v>
      </c>
      <c r="D161" t="s">
        <v>15</v>
      </c>
      <c r="E161" t="s">
        <v>27</v>
      </c>
      <c r="F161" t="s">
        <v>17</v>
      </c>
      <c r="G161">
        <v>7</v>
      </c>
      <c r="H161">
        <v>782</v>
      </c>
      <c r="I161">
        <v>5474</v>
      </c>
      <c r="J161">
        <v>3886</v>
      </c>
      <c r="K161">
        <v>1588</v>
      </c>
      <c r="L161" t="s">
        <v>28</v>
      </c>
      <c r="M161" t="s">
        <v>19</v>
      </c>
      <c r="N161" t="str">
        <f>IF(SalesTbl[[#This Row],[Profit]]&gt;180,"High Profit","Low Profit")</f>
        <v>High Profit</v>
      </c>
      <c r="O161" t="str">
        <f>TEXT(SalesTbl[[#This Row],[Date]],"mmm")</f>
        <v>May</v>
      </c>
    </row>
    <row r="162" spans="1:15" x14ac:dyDescent="0.3">
      <c r="A162">
        <v>1548</v>
      </c>
      <c r="B162" t="s">
        <v>159</v>
      </c>
      <c r="C162" t="s">
        <v>40</v>
      </c>
      <c r="D162" t="s">
        <v>35</v>
      </c>
      <c r="E162" t="s">
        <v>54</v>
      </c>
      <c r="F162" t="s">
        <v>17</v>
      </c>
      <c r="G162">
        <v>5</v>
      </c>
      <c r="H162">
        <v>931</v>
      </c>
      <c r="I162">
        <v>4655</v>
      </c>
      <c r="J162">
        <v>3072</v>
      </c>
      <c r="K162">
        <v>1583</v>
      </c>
      <c r="L162" t="s">
        <v>24</v>
      </c>
      <c r="M162" t="s">
        <v>29</v>
      </c>
      <c r="N162" t="str">
        <f>IF(SalesTbl[[#This Row],[Profit]]&gt;180,"High Profit","Low Profit")</f>
        <v>High Profit</v>
      </c>
      <c r="O162" t="str">
        <f>TEXT(SalesTbl[[#This Row],[Date]],"mmm")</f>
        <v>Apr</v>
      </c>
    </row>
    <row r="163" spans="1:15" x14ac:dyDescent="0.3">
      <c r="A163">
        <v>1162</v>
      </c>
      <c r="B163" t="s">
        <v>125</v>
      </c>
      <c r="C163" t="s">
        <v>14</v>
      </c>
      <c r="D163" t="s">
        <v>35</v>
      </c>
      <c r="E163" t="s">
        <v>54</v>
      </c>
      <c r="F163" t="s">
        <v>17</v>
      </c>
      <c r="G163">
        <v>2</v>
      </c>
      <c r="H163">
        <v>464</v>
      </c>
      <c r="I163">
        <v>928</v>
      </c>
      <c r="J163">
        <v>658</v>
      </c>
      <c r="K163">
        <v>270</v>
      </c>
      <c r="L163" t="s">
        <v>24</v>
      </c>
      <c r="M163" t="s">
        <v>29</v>
      </c>
      <c r="N163" t="str">
        <f>IF(SalesTbl[[#This Row],[Profit]]&gt;180,"High Profit","Low Profit")</f>
        <v>High Profit</v>
      </c>
      <c r="O163" t="str">
        <f>TEXT(SalesTbl[[#This Row],[Date]],"mmm")</f>
        <v>Jun</v>
      </c>
    </row>
    <row r="164" spans="1:15" x14ac:dyDescent="0.3">
      <c r="A164">
        <v>1163</v>
      </c>
      <c r="B164" t="s">
        <v>68</v>
      </c>
      <c r="C164" t="s">
        <v>14</v>
      </c>
      <c r="D164" t="s">
        <v>26</v>
      </c>
      <c r="E164" t="s">
        <v>41</v>
      </c>
      <c r="F164" t="s">
        <v>17</v>
      </c>
      <c r="G164">
        <v>1</v>
      </c>
      <c r="H164">
        <v>549</v>
      </c>
      <c r="I164">
        <v>549</v>
      </c>
      <c r="J164">
        <v>384</v>
      </c>
      <c r="K164">
        <v>165</v>
      </c>
      <c r="L164" t="s">
        <v>28</v>
      </c>
      <c r="M164" t="s">
        <v>19</v>
      </c>
      <c r="N164" t="str">
        <f>IF(SalesTbl[[#This Row],[Profit]]&gt;180,"High Profit","Low Profit")</f>
        <v>Low Profit</v>
      </c>
      <c r="O164" t="str">
        <f>TEXT(SalesTbl[[#This Row],[Date]],"mmm")</f>
        <v>Apr</v>
      </c>
    </row>
    <row r="165" spans="1:15" x14ac:dyDescent="0.3">
      <c r="A165">
        <v>1164</v>
      </c>
      <c r="B165" t="s">
        <v>94</v>
      </c>
      <c r="C165" t="s">
        <v>14</v>
      </c>
      <c r="D165" t="s">
        <v>15</v>
      </c>
      <c r="E165" t="s">
        <v>16</v>
      </c>
      <c r="F165" t="s">
        <v>17</v>
      </c>
      <c r="G165">
        <v>1</v>
      </c>
      <c r="H165">
        <v>878</v>
      </c>
      <c r="I165">
        <v>878</v>
      </c>
      <c r="J165">
        <v>702</v>
      </c>
      <c r="K165">
        <v>176</v>
      </c>
      <c r="L165" t="s">
        <v>24</v>
      </c>
      <c r="M165" t="s">
        <v>29</v>
      </c>
      <c r="N165" t="str">
        <f>IF(SalesTbl[[#This Row],[Profit]]&gt;180,"High Profit","Low Profit")</f>
        <v>Low Profit</v>
      </c>
      <c r="O165" t="str">
        <f>TEXT(SalesTbl[[#This Row],[Date]],"mmm")</f>
        <v>Mar</v>
      </c>
    </row>
    <row r="166" spans="1:15" x14ac:dyDescent="0.3">
      <c r="A166">
        <v>1165</v>
      </c>
      <c r="B166" t="s">
        <v>75</v>
      </c>
      <c r="C166" t="s">
        <v>14</v>
      </c>
      <c r="D166" t="s">
        <v>35</v>
      </c>
      <c r="E166" t="s">
        <v>27</v>
      </c>
      <c r="F166" t="s">
        <v>17</v>
      </c>
      <c r="G166">
        <v>3</v>
      </c>
      <c r="H166">
        <v>842</v>
      </c>
      <c r="I166">
        <v>2526</v>
      </c>
      <c r="J166">
        <v>1945</v>
      </c>
      <c r="K166">
        <v>581</v>
      </c>
      <c r="L166" t="s">
        <v>18</v>
      </c>
      <c r="M166" t="s">
        <v>19</v>
      </c>
      <c r="N166" t="str">
        <f>IF(SalesTbl[[#This Row],[Profit]]&gt;180,"High Profit","Low Profit")</f>
        <v>High Profit</v>
      </c>
      <c r="O166" t="str">
        <f>TEXT(SalesTbl[[#This Row],[Date]],"mmm")</f>
        <v>Jun</v>
      </c>
    </row>
    <row r="167" spans="1:15" x14ac:dyDescent="0.3">
      <c r="A167">
        <v>1166</v>
      </c>
      <c r="B167" t="s">
        <v>30</v>
      </c>
      <c r="C167" t="s">
        <v>40</v>
      </c>
      <c r="D167" t="s">
        <v>26</v>
      </c>
      <c r="E167" t="s">
        <v>48</v>
      </c>
      <c r="F167" t="s">
        <v>23</v>
      </c>
      <c r="G167">
        <v>5</v>
      </c>
      <c r="H167">
        <v>199</v>
      </c>
      <c r="I167">
        <v>995</v>
      </c>
      <c r="J167">
        <v>676</v>
      </c>
      <c r="K167">
        <v>319</v>
      </c>
      <c r="L167" t="s">
        <v>33</v>
      </c>
      <c r="M167" t="s">
        <v>19</v>
      </c>
      <c r="N167" t="str">
        <f>IF(SalesTbl[[#This Row],[Profit]]&gt;180,"High Profit","Low Profit")</f>
        <v>High Profit</v>
      </c>
      <c r="O167" t="str">
        <f>TEXT(SalesTbl[[#This Row],[Date]],"mmm")</f>
        <v>Feb</v>
      </c>
    </row>
    <row r="168" spans="1:15" x14ac:dyDescent="0.3">
      <c r="A168">
        <v>1167</v>
      </c>
      <c r="B168" t="s">
        <v>144</v>
      </c>
      <c r="C168" t="s">
        <v>21</v>
      </c>
      <c r="D168" t="s">
        <v>15</v>
      </c>
      <c r="E168" t="s">
        <v>22</v>
      </c>
      <c r="F168" t="s">
        <v>23</v>
      </c>
      <c r="G168">
        <v>2</v>
      </c>
      <c r="H168">
        <v>869</v>
      </c>
      <c r="I168">
        <v>1738</v>
      </c>
      <c r="J168">
        <v>1199</v>
      </c>
      <c r="K168">
        <v>539</v>
      </c>
      <c r="L168" t="s">
        <v>18</v>
      </c>
      <c r="M168" t="s">
        <v>29</v>
      </c>
      <c r="N168" t="str">
        <f>IF(SalesTbl[[#This Row],[Profit]]&gt;180,"High Profit","Low Profit")</f>
        <v>High Profit</v>
      </c>
      <c r="O168" t="str">
        <f>TEXT(SalesTbl[[#This Row],[Date]],"mmm")</f>
        <v>Mar</v>
      </c>
    </row>
    <row r="169" spans="1:15" x14ac:dyDescent="0.3">
      <c r="A169">
        <v>1168</v>
      </c>
      <c r="B169" t="s">
        <v>98</v>
      </c>
      <c r="C169" t="s">
        <v>40</v>
      </c>
      <c r="D169" t="s">
        <v>32</v>
      </c>
      <c r="E169" t="s">
        <v>48</v>
      </c>
      <c r="F169" t="s">
        <v>23</v>
      </c>
      <c r="G169">
        <v>3</v>
      </c>
      <c r="H169">
        <v>687</v>
      </c>
      <c r="I169">
        <v>2061</v>
      </c>
      <c r="J169">
        <v>1607</v>
      </c>
      <c r="K169">
        <v>454</v>
      </c>
      <c r="L169" t="s">
        <v>33</v>
      </c>
      <c r="M169" t="s">
        <v>19</v>
      </c>
      <c r="N169" t="str">
        <f>IF(SalesTbl[[#This Row],[Profit]]&gt;180,"High Profit","Low Profit")</f>
        <v>High Profit</v>
      </c>
      <c r="O169" t="str">
        <f>TEXT(SalesTbl[[#This Row],[Date]],"mmm")</f>
        <v>May</v>
      </c>
    </row>
    <row r="170" spans="1:15" x14ac:dyDescent="0.3">
      <c r="A170">
        <v>1169</v>
      </c>
      <c r="B170" t="s">
        <v>83</v>
      </c>
      <c r="C170" t="s">
        <v>21</v>
      </c>
      <c r="D170" t="s">
        <v>35</v>
      </c>
      <c r="E170" t="s">
        <v>16</v>
      </c>
      <c r="F170" t="s">
        <v>17</v>
      </c>
      <c r="G170">
        <v>9</v>
      </c>
      <c r="H170">
        <v>560</v>
      </c>
      <c r="I170">
        <v>5040</v>
      </c>
      <c r="J170">
        <v>3528</v>
      </c>
      <c r="K170">
        <v>1512</v>
      </c>
      <c r="L170" t="s">
        <v>38</v>
      </c>
      <c r="M170" t="s">
        <v>29</v>
      </c>
      <c r="N170" t="str">
        <f>IF(SalesTbl[[#This Row],[Profit]]&gt;180,"High Profit","Low Profit")</f>
        <v>High Profit</v>
      </c>
      <c r="O170" t="str">
        <f>TEXT(SalesTbl[[#This Row],[Date]],"mmm")</f>
        <v>Jun</v>
      </c>
    </row>
    <row r="171" spans="1:15" x14ac:dyDescent="0.3">
      <c r="A171">
        <v>1170</v>
      </c>
      <c r="B171" t="s">
        <v>45</v>
      </c>
      <c r="C171" t="s">
        <v>21</v>
      </c>
      <c r="D171" t="s">
        <v>26</v>
      </c>
      <c r="E171" t="s">
        <v>27</v>
      </c>
      <c r="F171" t="s">
        <v>17</v>
      </c>
      <c r="G171">
        <v>4</v>
      </c>
      <c r="H171">
        <v>767</v>
      </c>
      <c r="I171">
        <v>3068</v>
      </c>
      <c r="J171">
        <v>1994</v>
      </c>
      <c r="K171">
        <v>1074</v>
      </c>
      <c r="L171" t="s">
        <v>38</v>
      </c>
      <c r="M171" t="s">
        <v>19</v>
      </c>
      <c r="N171" t="str">
        <f>IF(SalesTbl[[#This Row],[Profit]]&gt;180,"High Profit","Low Profit")</f>
        <v>High Profit</v>
      </c>
      <c r="O171" t="str">
        <f>TEXT(SalesTbl[[#This Row],[Date]],"mmm")</f>
        <v>May</v>
      </c>
    </row>
    <row r="172" spans="1:15" x14ac:dyDescent="0.3">
      <c r="A172">
        <v>1171</v>
      </c>
      <c r="B172" t="s">
        <v>145</v>
      </c>
      <c r="C172" t="s">
        <v>21</v>
      </c>
      <c r="D172" t="s">
        <v>26</v>
      </c>
      <c r="E172" t="s">
        <v>48</v>
      </c>
      <c r="F172" t="s">
        <v>23</v>
      </c>
      <c r="G172">
        <v>1</v>
      </c>
      <c r="H172">
        <v>521</v>
      </c>
      <c r="I172">
        <v>521</v>
      </c>
      <c r="J172">
        <v>390</v>
      </c>
      <c r="K172">
        <v>131</v>
      </c>
      <c r="L172" t="s">
        <v>33</v>
      </c>
      <c r="M172" t="s">
        <v>29</v>
      </c>
      <c r="N172" t="str">
        <f>IF(SalesTbl[[#This Row],[Profit]]&gt;180,"High Profit","Low Profit")</f>
        <v>Low Profit</v>
      </c>
      <c r="O172" t="str">
        <f>TEXT(SalesTbl[[#This Row],[Date]],"mmm")</f>
        <v>Apr</v>
      </c>
    </row>
    <row r="173" spans="1:15" x14ac:dyDescent="0.3">
      <c r="A173">
        <v>1713</v>
      </c>
      <c r="B173" t="s">
        <v>60</v>
      </c>
      <c r="C173" t="s">
        <v>40</v>
      </c>
      <c r="D173" t="s">
        <v>26</v>
      </c>
      <c r="E173" t="s">
        <v>54</v>
      </c>
      <c r="F173" t="s">
        <v>17</v>
      </c>
      <c r="G173">
        <v>7</v>
      </c>
      <c r="H173">
        <v>662</v>
      </c>
      <c r="I173">
        <v>4634</v>
      </c>
      <c r="J173">
        <v>3058</v>
      </c>
      <c r="K173">
        <v>1576</v>
      </c>
      <c r="L173" t="s">
        <v>24</v>
      </c>
      <c r="M173" t="s">
        <v>29</v>
      </c>
      <c r="N173" t="str">
        <f>IF(SalesTbl[[#This Row],[Profit]]&gt;180,"High Profit","Low Profit")</f>
        <v>High Profit</v>
      </c>
      <c r="O173" t="str">
        <f>TEXT(SalesTbl[[#This Row],[Date]],"mmm")</f>
        <v>Jan</v>
      </c>
    </row>
    <row r="174" spans="1:15" x14ac:dyDescent="0.3">
      <c r="A174">
        <v>1173</v>
      </c>
      <c r="B174" t="s">
        <v>123</v>
      </c>
      <c r="C174" t="s">
        <v>21</v>
      </c>
      <c r="D174" t="s">
        <v>32</v>
      </c>
      <c r="E174" t="s">
        <v>27</v>
      </c>
      <c r="F174" t="s">
        <v>17</v>
      </c>
      <c r="G174">
        <v>6</v>
      </c>
      <c r="H174">
        <v>713</v>
      </c>
      <c r="I174">
        <v>4278</v>
      </c>
      <c r="J174">
        <v>3294</v>
      </c>
      <c r="K174">
        <v>984</v>
      </c>
      <c r="L174" t="s">
        <v>28</v>
      </c>
      <c r="M174" t="s">
        <v>29</v>
      </c>
      <c r="N174" t="str">
        <f>IF(SalesTbl[[#This Row],[Profit]]&gt;180,"High Profit","Low Profit")</f>
        <v>High Profit</v>
      </c>
      <c r="O174" t="str">
        <f>TEXT(SalesTbl[[#This Row],[Date]],"mmm")</f>
        <v>Jan</v>
      </c>
    </row>
    <row r="175" spans="1:15" x14ac:dyDescent="0.3">
      <c r="A175">
        <v>1174</v>
      </c>
      <c r="B175" t="s">
        <v>36</v>
      </c>
      <c r="C175" t="s">
        <v>14</v>
      </c>
      <c r="D175" t="s">
        <v>15</v>
      </c>
      <c r="E175" t="s">
        <v>54</v>
      </c>
      <c r="F175" t="s">
        <v>17</v>
      </c>
      <c r="G175">
        <v>7</v>
      </c>
      <c r="H175">
        <v>652</v>
      </c>
      <c r="I175">
        <v>4564</v>
      </c>
      <c r="J175">
        <v>2966</v>
      </c>
      <c r="K175">
        <v>1598</v>
      </c>
      <c r="L175" t="s">
        <v>24</v>
      </c>
      <c r="M175" t="s">
        <v>19</v>
      </c>
      <c r="N175" t="str">
        <f>IF(SalesTbl[[#This Row],[Profit]]&gt;180,"High Profit","Low Profit")</f>
        <v>High Profit</v>
      </c>
      <c r="O175" t="str">
        <f>TEXT(SalesTbl[[#This Row],[Date]],"mmm")</f>
        <v>May</v>
      </c>
    </row>
    <row r="176" spans="1:15" x14ac:dyDescent="0.3">
      <c r="A176">
        <v>1175</v>
      </c>
      <c r="B176" t="s">
        <v>146</v>
      </c>
      <c r="C176" t="s">
        <v>31</v>
      </c>
      <c r="D176" t="s">
        <v>32</v>
      </c>
      <c r="E176" t="s">
        <v>22</v>
      </c>
      <c r="F176" t="s">
        <v>23</v>
      </c>
      <c r="G176">
        <v>1</v>
      </c>
      <c r="H176">
        <v>738</v>
      </c>
      <c r="I176">
        <v>738</v>
      </c>
      <c r="J176">
        <v>501</v>
      </c>
      <c r="K176">
        <v>237</v>
      </c>
      <c r="L176" t="s">
        <v>24</v>
      </c>
      <c r="M176" t="s">
        <v>29</v>
      </c>
      <c r="N176" t="str">
        <f>IF(SalesTbl[[#This Row],[Profit]]&gt;180,"High Profit","Low Profit")</f>
        <v>High Profit</v>
      </c>
      <c r="O176" t="str">
        <f>TEXT(SalesTbl[[#This Row],[Date]],"mmm")</f>
        <v>Feb</v>
      </c>
    </row>
    <row r="177" spans="1:15" x14ac:dyDescent="0.3">
      <c r="A177">
        <v>1291</v>
      </c>
      <c r="B177" t="s">
        <v>156</v>
      </c>
      <c r="C177" t="s">
        <v>40</v>
      </c>
      <c r="D177" t="s">
        <v>32</v>
      </c>
      <c r="E177" t="s">
        <v>41</v>
      </c>
      <c r="F177" t="s">
        <v>17</v>
      </c>
      <c r="G177">
        <v>7</v>
      </c>
      <c r="H177">
        <v>683</v>
      </c>
      <c r="I177">
        <v>4781</v>
      </c>
      <c r="J177">
        <v>3251</v>
      </c>
      <c r="K177">
        <v>1530</v>
      </c>
      <c r="L177" t="s">
        <v>33</v>
      </c>
      <c r="M177" t="s">
        <v>19</v>
      </c>
      <c r="N177" t="str">
        <f>IF(SalesTbl[[#This Row],[Profit]]&gt;180,"High Profit","Low Profit")</f>
        <v>High Profit</v>
      </c>
      <c r="O177" t="str">
        <f>TEXT(SalesTbl[[#This Row],[Date]],"mmm")</f>
        <v>Feb</v>
      </c>
    </row>
    <row r="178" spans="1:15" x14ac:dyDescent="0.3">
      <c r="A178">
        <v>1177</v>
      </c>
      <c r="B178" t="s">
        <v>51</v>
      </c>
      <c r="C178" t="s">
        <v>31</v>
      </c>
      <c r="D178" t="s">
        <v>32</v>
      </c>
      <c r="E178" t="s">
        <v>27</v>
      </c>
      <c r="F178" t="s">
        <v>17</v>
      </c>
      <c r="G178">
        <v>8</v>
      </c>
      <c r="H178">
        <v>775</v>
      </c>
      <c r="I178">
        <v>6200</v>
      </c>
      <c r="J178">
        <v>4836</v>
      </c>
      <c r="K178">
        <v>1364</v>
      </c>
      <c r="L178" t="s">
        <v>18</v>
      </c>
      <c r="M178" t="s">
        <v>19</v>
      </c>
      <c r="N178" t="str">
        <f>IF(SalesTbl[[#This Row],[Profit]]&gt;180,"High Profit","Low Profit")</f>
        <v>High Profit</v>
      </c>
      <c r="O178" t="str">
        <f>TEXT(SalesTbl[[#This Row],[Date]],"mmm")</f>
        <v>May</v>
      </c>
    </row>
    <row r="179" spans="1:15" x14ac:dyDescent="0.3">
      <c r="A179">
        <v>1178</v>
      </c>
      <c r="B179" t="s">
        <v>49</v>
      </c>
      <c r="C179" t="s">
        <v>14</v>
      </c>
      <c r="D179" t="s">
        <v>26</v>
      </c>
      <c r="E179" t="s">
        <v>48</v>
      </c>
      <c r="F179" t="s">
        <v>23</v>
      </c>
      <c r="G179">
        <v>10</v>
      </c>
      <c r="H179">
        <v>866</v>
      </c>
      <c r="I179">
        <v>8660</v>
      </c>
      <c r="J179">
        <v>5369</v>
      </c>
      <c r="K179">
        <v>3291</v>
      </c>
      <c r="L179" t="s">
        <v>28</v>
      </c>
      <c r="M179" t="s">
        <v>19</v>
      </c>
      <c r="N179" t="str">
        <f>IF(SalesTbl[[#This Row],[Profit]]&gt;180,"High Profit","Low Profit")</f>
        <v>High Profit</v>
      </c>
      <c r="O179" t="str">
        <f>TEXT(SalesTbl[[#This Row],[Date]],"mmm")</f>
        <v>Jan</v>
      </c>
    </row>
    <row r="180" spans="1:15" x14ac:dyDescent="0.3">
      <c r="A180">
        <v>1179</v>
      </c>
      <c r="B180" t="s">
        <v>56</v>
      </c>
      <c r="C180" t="s">
        <v>21</v>
      </c>
      <c r="D180" t="s">
        <v>35</v>
      </c>
      <c r="E180" t="s">
        <v>16</v>
      </c>
      <c r="F180" t="s">
        <v>17</v>
      </c>
      <c r="G180">
        <v>8</v>
      </c>
      <c r="H180">
        <v>979</v>
      </c>
      <c r="I180">
        <v>7832</v>
      </c>
      <c r="J180">
        <v>4934</v>
      </c>
      <c r="K180">
        <v>2898</v>
      </c>
      <c r="L180" t="s">
        <v>33</v>
      </c>
      <c r="M180" t="s">
        <v>29</v>
      </c>
      <c r="N180" t="str">
        <f>IF(SalesTbl[[#This Row],[Profit]]&gt;180,"High Profit","Low Profit")</f>
        <v>High Profit</v>
      </c>
      <c r="O180" t="str">
        <f>TEXT(SalesTbl[[#This Row],[Date]],"mmm")</f>
        <v>Jan</v>
      </c>
    </row>
    <row r="181" spans="1:15" x14ac:dyDescent="0.3">
      <c r="A181">
        <v>1180</v>
      </c>
      <c r="B181" t="s">
        <v>82</v>
      </c>
      <c r="C181" t="s">
        <v>40</v>
      </c>
      <c r="D181" t="s">
        <v>32</v>
      </c>
      <c r="E181" t="s">
        <v>48</v>
      </c>
      <c r="F181" t="s">
        <v>23</v>
      </c>
      <c r="G181">
        <v>9</v>
      </c>
      <c r="H181">
        <v>712</v>
      </c>
      <c r="I181">
        <v>6408</v>
      </c>
      <c r="J181">
        <v>4421</v>
      </c>
      <c r="K181">
        <v>1987</v>
      </c>
      <c r="L181" t="s">
        <v>18</v>
      </c>
      <c r="M181" t="s">
        <v>19</v>
      </c>
      <c r="N181" t="str">
        <f>IF(SalesTbl[[#This Row],[Profit]]&gt;180,"High Profit","Low Profit")</f>
        <v>High Profit</v>
      </c>
      <c r="O181" t="str">
        <f>TEXT(SalesTbl[[#This Row],[Date]],"mmm")</f>
        <v>Jan</v>
      </c>
    </row>
    <row r="182" spans="1:15" x14ac:dyDescent="0.3">
      <c r="A182">
        <v>1181</v>
      </c>
      <c r="B182" t="s">
        <v>148</v>
      </c>
      <c r="C182" t="s">
        <v>14</v>
      </c>
      <c r="D182" t="s">
        <v>15</v>
      </c>
      <c r="E182" t="s">
        <v>27</v>
      </c>
      <c r="F182" t="s">
        <v>17</v>
      </c>
      <c r="G182">
        <v>1</v>
      </c>
      <c r="H182">
        <v>566</v>
      </c>
      <c r="I182">
        <v>566</v>
      </c>
      <c r="J182">
        <v>401</v>
      </c>
      <c r="K182">
        <v>165</v>
      </c>
      <c r="L182" t="s">
        <v>33</v>
      </c>
      <c r="M182" t="s">
        <v>29</v>
      </c>
      <c r="N182" t="str">
        <f>IF(SalesTbl[[#This Row],[Profit]]&gt;180,"High Profit","Low Profit")</f>
        <v>Low Profit</v>
      </c>
      <c r="O182" t="str">
        <f>TEXT(SalesTbl[[#This Row],[Date]],"mmm")</f>
        <v>Mar</v>
      </c>
    </row>
    <row r="183" spans="1:15" x14ac:dyDescent="0.3">
      <c r="A183">
        <v>1182</v>
      </c>
      <c r="B183" t="s">
        <v>100</v>
      </c>
      <c r="C183" t="s">
        <v>31</v>
      </c>
      <c r="D183" t="s">
        <v>32</v>
      </c>
      <c r="E183" t="s">
        <v>41</v>
      </c>
      <c r="F183" t="s">
        <v>17</v>
      </c>
      <c r="G183">
        <v>1</v>
      </c>
      <c r="H183">
        <v>920</v>
      </c>
      <c r="I183">
        <v>920</v>
      </c>
      <c r="J183">
        <v>579</v>
      </c>
      <c r="K183">
        <v>341</v>
      </c>
      <c r="L183" t="s">
        <v>33</v>
      </c>
      <c r="M183" t="s">
        <v>29</v>
      </c>
      <c r="N183" t="str">
        <f>IF(SalesTbl[[#This Row],[Profit]]&gt;180,"High Profit","Low Profit")</f>
        <v>High Profit</v>
      </c>
      <c r="O183" t="str">
        <f>TEXT(SalesTbl[[#This Row],[Date]],"mmm")</f>
        <v>Jan</v>
      </c>
    </row>
    <row r="184" spans="1:15" x14ac:dyDescent="0.3">
      <c r="A184">
        <v>1226</v>
      </c>
      <c r="B184" t="s">
        <v>61</v>
      </c>
      <c r="C184" t="s">
        <v>40</v>
      </c>
      <c r="D184" t="s">
        <v>35</v>
      </c>
      <c r="E184" t="s">
        <v>27</v>
      </c>
      <c r="F184" t="s">
        <v>17</v>
      </c>
      <c r="G184">
        <v>5</v>
      </c>
      <c r="H184">
        <v>835</v>
      </c>
      <c r="I184">
        <v>4175</v>
      </c>
      <c r="J184">
        <v>2672</v>
      </c>
      <c r="K184">
        <v>1503</v>
      </c>
      <c r="L184" t="s">
        <v>24</v>
      </c>
      <c r="M184" t="s">
        <v>19</v>
      </c>
      <c r="N184" t="str">
        <f>IF(SalesTbl[[#This Row],[Profit]]&gt;180,"High Profit","Low Profit")</f>
        <v>High Profit</v>
      </c>
      <c r="O184" t="str">
        <f>TEXT(SalesTbl[[#This Row],[Date]],"mmm")</f>
        <v>Jun</v>
      </c>
    </row>
    <row r="185" spans="1:15" x14ac:dyDescent="0.3">
      <c r="A185">
        <v>1184</v>
      </c>
      <c r="B185" t="s">
        <v>69</v>
      </c>
      <c r="C185" t="s">
        <v>14</v>
      </c>
      <c r="D185" t="s">
        <v>15</v>
      </c>
      <c r="E185" t="s">
        <v>54</v>
      </c>
      <c r="F185" t="s">
        <v>17</v>
      </c>
      <c r="G185">
        <v>1</v>
      </c>
      <c r="H185">
        <v>137</v>
      </c>
      <c r="I185">
        <v>137</v>
      </c>
      <c r="J185">
        <v>109</v>
      </c>
      <c r="K185">
        <v>28</v>
      </c>
      <c r="L185" t="s">
        <v>38</v>
      </c>
      <c r="M185" t="s">
        <v>19</v>
      </c>
      <c r="N185" t="str">
        <f>IF(SalesTbl[[#This Row],[Profit]]&gt;180,"High Profit","Low Profit")</f>
        <v>Low Profit</v>
      </c>
      <c r="O185" t="str">
        <f>TEXT(SalesTbl[[#This Row],[Date]],"mmm")</f>
        <v>May</v>
      </c>
    </row>
    <row r="186" spans="1:15" x14ac:dyDescent="0.3">
      <c r="A186">
        <v>1185</v>
      </c>
      <c r="B186" t="s">
        <v>149</v>
      </c>
      <c r="C186" t="s">
        <v>40</v>
      </c>
      <c r="D186" t="s">
        <v>32</v>
      </c>
      <c r="E186" t="s">
        <v>48</v>
      </c>
      <c r="F186" t="s">
        <v>23</v>
      </c>
      <c r="G186">
        <v>8</v>
      </c>
      <c r="H186">
        <v>257</v>
      </c>
      <c r="I186">
        <v>2056</v>
      </c>
      <c r="J186">
        <v>1480</v>
      </c>
      <c r="K186">
        <v>576</v>
      </c>
      <c r="L186" t="s">
        <v>24</v>
      </c>
      <c r="M186" t="s">
        <v>29</v>
      </c>
      <c r="N186" t="str">
        <f>IF(SalesTbl[[#This Row],[Profit]]&gt;180,"High Profit","Low Profit")</f>
        <v>High Profit</v>
      </c>
      <c r="O186" t="str">
        <f>TEXT(SalesTbl[[#This Row],[Date]],"mmm")</f>
        <v>Mar</v>
      </c>
    </row>
    <row r="187" spans="1:15" x14ac:dyDescent="0.3">
      <c r="A187">
        <v>1186</v>
      </c>
      <c r="B187" t="s">
        <v>115</v>
      </c>
      <c r="C187" t="s">
        <v>14</v>
      </c>
      <c r="D187" t="s">
        <v>32</v>
      </c>
      <c r="E187" t="s">
        <v>16</v>
      </c>
      <c r="F187" t="s">
        <v>17</v>
      </c>
      <c r="G187">
        <v>7</v>
      </c>
      <c r="H187">
        <v>848</v>
      </c>
      <c r="I187">
        <v>5936</v>
      </c>
      <c r="J187">
        <v>4095</v>
      </c>
      <c r="K187">
        <v>1841</v>
      </c>
      <c r="L187" t="s">
        <v>18</v>
      </c>
      <c r="M187" t="s">
        <v>29</v>
      </c>
      <c r="N187" t="str">
        <f>IF(SalesTbl[[#This Row],[Profit]]&gt;180,"High Profit","Low Profit")</f>
        <v>High Profit</v>
      </c>
      <c r="O187" t="str">
        <f>TEXT(SalesTbl[[#This Row],[Date]],"mmm")</f>
        <v>Jun</v>
      </c>
    </row>
    <row r="188" spans="1:15" x14ac:dyDescent="0.3">
      <c r="A188">
        <v>1187</v>
      </c>
      <c r="B188" t="s">
        <v>150</v>
      </c>
      <c r="C188" t="s">
        <v>40</v>
      </c>
      <c r="D188" t="s">
        <v>32</v>
      </c>
      <c r="E188" t="s">
        <v>22</v>
      </c>
      <c r="F188" t="s">
        <v>23</v>
      </c>
      <c r="G188">
        <v>8</v>
      </c>
      <c r="H188">
        <v>566</v>
      </c>
      <c r="I188">
        <v>4528</v>
      </c>
      <c r="J188">
        <v>3622</v>
      </c>
      <c r="K188">
        <v>906</v>
      </c>
      <c r="L188" t="s">
        <v>24</v>
      </c>
      <c r="M188" t="s">
        <v>19</v>
      </c>
      <c r="N188" t="str">
        <f>IF(SalesTbl[[#This Row],[Profit]]&gt;180,"High Profit","Low Profit")</f>
        <v>High Profit</v>
      </c>
      <c r="O188" t="str">
        <f>TEXT(SalesTbl[[#This Row],[Date]],"mmm")</f>
        <v>Jun</v>
      </c>
    </row>
    <row r="189" spans="1:15" x14ac:dyDescent="0.3">
      <c r="A189">
        <v>1188</v>
      </c>
      <c r="B189" t="s">
        <v>128</v>
      </c>
      <c r="C189" t="s">
        <v>31</v>
      </c>
      <c r="D189" t="s">
        <v>15</v>
      </c>
      <c r="E189" t="s">
        <v>41</v>
      </c>
      <c r="F189" t="s">
        <v>17</v>
      </c>
      <c r="G189">
        <v>8</v>
      </c>
      <c r="H189">
        <v>421</v>
      </c>
      <c r="I189">
        <v>3368</v>
      </c>
      <c r="J189">
        <v>2088</v>
      </c>
      <c r="K189">
        <v>1280</v>
      </c>
      <c r="L189" t="s">
        <v>33</v>
      </c>
      <c r="M189" t="s">
        <v>19</v>
      </c>
      <c r="N189" t="str">
        <f>IF(SalesTbl[[#This Row],[Profit]]&gt;180,"High Profit","Low Profit")</f>
        <v>High Profit</v>
      </c>
      <c r="O189" t="str">
        <f>TEXT(SalesTbl[[#This Row],[Date]],"mmm")</f>
        <v>Jan</v>
      </c>
    </row>
    <row r="190" spans="1:15" x14ac:dyDescent="0.3">
      <c r="A190">
        <v>1189</v>
      </c>
      <c r="B190" t="s">
        <v>151</v>
      </c>
      <c r="C190" t="s">
        <v>31</v>
      </c>
      <c r="D190" t="s">
        <v>26</v>
      </c>
      <c r="E190" t="s">
        <v>27</v>
      </c>
      <c r="F190" t="s">
        <v>17</v>
      </c>
      <c r="G190">
        <v>9</v>
      </c>
      <c r="H190">
        <v>783</v>
      </c>
      <c r="I190">
        <v>7047</v>
      </c>
      <c r="J190">
        <v>4510</v>
      </c>
      <c r="K190">
        <v>2537</v>
      </c>
      <c r="L190" t="s">
        <v>24</v>
      </c>
      <c r="M190" t="s">
        <v>29</v>
      </c>
      <c r="N190" t="str">
        <f>IF(SalesTbl[[#This Row],[Profit]]&gt;180,"High Profit","Low Profit")</f>
        <v>High Profit</v>
      </c>
      <c r="O190" t="str">
        <f>TEXT(SalesTbl[[#This Row],[Date]],"mmm")</f>
        <v>Jan</v>
      </c>
    </row>
    <row r="191" spans="1:15" x14ac:dyDescent="0.3">
      <c r="A191">
        <v>1190</v>
      </c>
      <c r="B191" t="s">
        <v>98</v>
      </c>
      <c r="C191" t="s">
        <v>21</v>
      </c>
      <c r="D191" t="s">
        <v>32</v>
      </c>
      <c r="E191" t="s">
        <v>27</v>
      </c>
      <c r="F191" t="s">
        <v>17</v>
      </c>
      <c r="G191">
        <v>8</v>
      </c>
      <c r="H191">
        <v>282</v>
      </c>
      <c r="I191">
        <v>2256</v>
      </c>
      <c r="J191">
        <v>1759</v>
      </c>
      <c r="K191">
        <v>497</v>
      </c>
      <c r="L191" t="s">
        <v>24</v>
      </c>
      <c r="M191" t="s">
        <v>19</v>
      </c>
      <c r="N191" t="str">
        <f>IF(SalesTbl[[#This Row],[Profit]]&gt;180,"High Profit","Low Profit")</f>
        <v>High Profit</v>
      </c>
      <c r="O191" t="str">
        <f>TEXT(SalesTbl[[#This Row],[Date]],"mmm")</f>
        <v>May</v>
      </c>
    </row>
    <row r="192" spans="1:15" x14ac:dyDescent="0.3">
      <c r="A192">
        <v>1191</v>
      </c>
      <c r="B192" t="s">
        <v>152</v>
      </c>
      <c r="C192" t="s">
        <v>14</v>
      </c>
      <c r="D192" t="s">
        <v>26</v>
      </c>
      <c r="E192" t="s">
        <v>27</v>
      </c>
      <c r="F192" t="s">
        <v>17</v>
      </c>
      <c r="G192">
        <v>6</v>
      </c>
      <c r="H192">
        <v>499</v>
      </c>
      <c r="I192">
        <v>2994</v>
      </c>
      <c r="J192">
        <v>1946</v>
      </c>
      <c r="K192">
        <v>1048</v>
      </c>
      <c r="L192" t="s">
        <v>33</v>
      </c>
      <c r="M192" t="s">
        <v>29</v>
      </c>
      <c r="N192" t="str">
        <f>IF(SalesTbl[[#This Row],[Profit]]&gt;180,"High Profit","Low Profit")</f>
        <v>High Profit</v>
      </c>
      <c r="O192" t="str">
        <f>TEXT(SalesTbl[[#This Row],[Date]],"mmm")</f>
        <v>Apr</v>
      </c>
    </row>
    <row r="193" spans="1:15" x14ac:dyDescent="0.3">
      <c r="A193">
        <v>1779</v>
      </c>
      <c r="B193" t="s">
        <v>124</v>
      </c>
      <c r="C193" t="s">
        <v>40</v>
      </c>
      <c r="D193" t="s">
        <v>35</v>
      </c>
      <c r="E193" t="s">
        <v>41</v>
      </c>
      <c r="F193" t="s">
        <v>17</v>
      </c>
      <c r="G193">
        <v>8</v>
      </c>
      <c r="H193">
        <v>647</v>
      </c>
      <c r="I193">
        <v>5176</v>
      </c>
      <c r="J193">
        <v>3674</v>
      </c>
      <c r="K193">
        <v>1502</v>
      </c>
      <c r="L193" t="s">
        <v>24</v>
      </c>
      <c r="M193" t="s">
        <v>19</v>
      </c>
      <c r="N193" t="str">
        <f>IF(SalesTbl[[#This Row],[Profit]]&gt;180,"High Profit","Low Profit")</f>
        <v>High Profit</v>
      </c>
      <c r="O193" t="str">
        <f>TEXT(SalesTbl[[#This Row],[Date]],"mmm")</f>
        <v>Jan</v>
      </c>
    </row>
    <row r="194" spans="1:15" x14ac:dyDescent="0.3">
      <c r="A194">
        <v>1193</v>
      </c>
      <c r="B194" t="s">
        <v>154</v>
      </c>
      <c r="C194" t="s">
        <v>14</v>
      </c>
      <c r="D194" t="s">
        <v>15</v>
      </c>
      <c r="E194" t="s">
        <v>16</v>
      </c>
      <c r="F194" t="s">
        <v>17</v>
      </c>
      <c r="G194">
        <v>2</v>
      </c>
      <c r="H194">
        <v>348</v>
      </c>
      <c r="I194">
        <v>696</v>
      </c>
      <c r="J194">
        <v>466</v>
      </c>
      <c r="K194">
        <v>230</v>
      </c>
      <c r="L194" t="s">
        <v>28</v>
      </c>
      <c r="M194" t="s">
        <v>29</v>
      </c>
      <c r="N194" t="str">
        <f>IF(SalesTbl[[#This Row],[Profit]]&gt;180,"High Profit","Low Profit")</f>
        <v>High Profit</v>
      </c>
      <c r="O194" t="str">
        <f>TEXT(SalesTbl[[#This Row],[Date]],"mmm")</f>
        <v>Mar</v>
      </c>
    </row>
    <row r="195" spans="1:15" x14ac:dyDescent="0.3">
      <c r="A195">
        <v>1624</v>
      </c>
      <c r="B195" t="s">
        <v>114</v>
      </c>
      <c r="C195" t="s">
        <v>40</v>
      </c>
      <c r="D195" t="s">
        <v>15</v>
      </c>
      <c r="E195" t="s">
        <v>27</v>
      </c>
      <c r="F195" t="s">
        <v>17</v>
      </c>
      <c r="G195">
        <v>5</v>
      </c>
      <c r="H195">
        <v>899</v>
      </c>
      <c r="I195">
        <v>4495</v>
      </c>
      <c r="J195">
        <v>3011</v>
      </c>
      <c r="K195">
        <v>1484</v>
      </c>
      <c r="L195" t="s">
        <v>24</v>
      </c>
      <c r="M195" t="s">
        <v>19</v>
      </c>
      <c r="N195" t="str">
        <f>IF(SalesTbl[[#This Row],[Profit]]&gt;180,"High Profit","Low Profit")</f>
        <v>High Profit</v>
      </c>
      <c r="O195" t="str">
        <f>TEXT(SalesTbl[[#This Row],[Date]],"mmm")</f>
        <v>Jan</v>
      </c>
    </row>
    <row r="196" spans="1:15" x14ac:dyDescent="0.3">
      <c r="A196">
        <v>1195</v>
      </c>
      <c r="B196" t="s">
        <v>49</v>
      </c>
      <c r="C196" t="s">
        <v>21</v>
      </c>
      <c r="D196" t="s">
        <v>35</v>
      </c>
      <c r="E196" t="s">
        <v>27</v>
      </c>
      <c r="F196" t="s">
        <v>17</v>
      </c>
      <c r="G196">
        <v>9</v>
      </c>
      <c r="H196">
        <v>984</v>
      </c>
      <c r="I196">
        <v>8856</v>
      </c>
      <c r="J196">
        <v>5579</v>
      </c>
      <c r="K196">
        <v>3277</v>
      </c>
      <c r="L196" t="s">
        <v>28</v>
      </c>
      <c r="M196" t="s">
        <v>19</v>
      </c>
      <c r="N196" t="str">
        <f>IF(SalesTbl[[#This Row],[Profit]]&gt;180,"High Profit","Low Profit")</f>
        <v>High Profit</v>
      </c>
      <c r="O196" t="str">
        <f>TEXT(SalesTbl[[#This Row],[Date]],"mmm")</f>
        <v>Jan</v>
      </c>
    </row>
    <row r="197" spans="1:15" x14ac:dyDescent="0.3">
      <c r="A197">
        <v>1196</v>
      </c>
      <c r="B197" t="s">
        <v>101</v>
      </c>
      <c r="C197" t="s">
        <v>14</v>
      </c>
      <c r="D197" t="s">
        <v>15</v>
      </c>
      <c r="E197" t="s">
        <v>27</v>
      </c>
      <c r="F197" t="s">
        <v>17</v>
      </c>
      <c r="G197">
        <v>1</v>
      </c>
      <c r="H197">
        <v>879</v>
      </c>
      <c r="I197">
        <v>879</v>
      </c>
      <c r="J197">
        <v>588</v>
      </c>
      <c r="K197">
        <v>291</v>
      </c>
      <c r="L197" t="s">
        <v>18</v>
      </c>
      <c r="M197" t="s">
        <v>29</v>
      </c>
      <c r="N197" t="str">
        <f>IF(SalesTbl[[#This Row],[Profit]]&gt;180,"High Profit","Low Profit")</f>
        <v>High Profit</v>
      </c>
      <c r="O197" t="str">
        <f>TEXT(SalesTbl[[#This Row],[Date]],"mmm")</f>
        <v>Feb</v>
      </c>
    </row>
    <row r="198" spans="1:15" x14ac:dyDescent="0.3">
      <c r="A198">
        <v>1197</v>
      </c>
      <c r="B198" t="s">
        <v>155</v>
      </c>
      <c r="C198" t="s">
        <v>31</v>
      </c>
      <c r="D198" t="s">
        <v>26</v>
      </c>
      <c r="E198" t="s">
        <v>16</v>
      </c>
      <c r="F198" t="s">
        <v>17</v>
      </c>
      <c r="G198">
        <v>7</v>
      </c>
      <c r="H198">
        <v>67</v>
      </c>
      <c r="I198">
        <v>469</v>
      </c>
      <c r="J198">
        <v>332</v>
      </c>
      <c r="K198">
        <v>137</v>
      </c>
      <c r="L198" t="s">
        <v>28</v>
      </c>
      <c r="M198" t="s">
        <v>29</v>
      </c>
      <c r="N198" t="str">
        <f>IF(SalesTbl[[#This Row],[Profit]]&gt;180,"High Profit","Low Profit")</f>
        <v>Low Profit</v>
      </c>
      <c r="O198" t="str">
        <f>TEXT(SalesTbl[[#This Row],[Date]],"mmm")</f>
        <v>Mar</v>
      </c>
    </row>
    <row r="199" spans="1:15" x14ac:dyDescent="0.3">
      <c r="A199">
        <v>1198</v>
      </c>
      <c r="B199" t="s">
        <v>56</v>
      </c>
      <c r="C199" t="s">
        <v>31</v>
      </c>
      <c r="D199" t="s">
        <v>32</v>
      </c>
      <c r="E199" t="s">
        <v>48</v>
      </c>
      <c r="F199" t="s">
        <v>23</v>
      </c>
      <c r="G199">
        <v>10</v>
      </c>
      <c r="H199">
        <v>952</v>
      </c>
      <c r="I199">
        <v>9520</v>
      </c>
      <c r="J199">
        <v>6188</v>
      </c>
      <c r="K199">
        <v>3332</v>
      </c>
      <c r="L199" t="s">
        <v>33</v>
      </c>
      <c r="M199" t="s">
        <v>19</v>
      </c>
      <c r="N199" t="str">
        <f>IF(SalesTbl[[#This Row],[Profit]]&gt;180,"High Profit","Low Profit")</f>
        <v>High Profit</v>
      </c>
      <c r="O199" t="str">
        <f>TEXT(SalesTbl[[#This Row],[Date]],"mmm")</f>
        <v>Jan</v>
      </c>
    </row>
    <row r="200" spans="1:15" x14ac:dyDescent="0.3">
      <c r="A200">
        <v>1199</v>
      </c>
      <c r="B200" t="s">
        <v>156</v>
      </c>
      <c r="C200" t="s">
        <v>21</v>
      </c>
      <c r="D200" t="s">
        <v>26</v>
      </c>
      <c r="E200" t="s">
        <v>48</v>
      </c>
      <c r="F200" t="s">
        <v>23</v>
      </c>
      <c r="G200">
        <v>3</v>
      </c>
      <c r="H200">
        <v>55</v>
      </c>
      <c r="I200">
        <v>165</v>
      </c>
      <c r="J200">
        <v>103</v>
      </c>
      <c r="K200">
        <v>62</v>
      </c>
      <c r="L200" t="s">
        <v>24</v>
      </c>
      <c r="M200" t="s">
        <v>19</v>
      </c>
      <c r="N200" t="str">
        <f>IF(SalesTbl[[#This Row],[Profit]]&gt;180,"High Profit","Low Profit")</f>
        <v>Low Profit</v>
      </c>
      <c r="O200" t="str">
        <f>TEXT(SalesTbl[[#This Row],[Date]],"mmm")</f>
        <v>Feb</v>
      </c>
    </row>
    <row r="201" spans="1:15" x14ac:dyDescent="0.3">
      <c r="A201">
        <v>1200</v>
      </c>
      <c r="B201" t="s">
        <v>157</v>
      </c>
      <c r="C201" t="s">
        <v>21</v>
      </c>
      <c r="D201" t="s">
        <v>32</v>
      </c>
      <c r="E201" t="s">
        <v>27</v>
      </c>
      <c r="F201" t="s">
        <v>17</v>
      </c>
      <c r="G201">
        <v>7</v>
      </c>
      <c r="H201">
        <v>135</v>
      </c>
      <c r="I201">
        <v>945</v>
      </c>
      <c r="J201">
        <v>567</v>
      </c>
      <c r="K201">
        <v>378</v>
      </c>
      <c r="L201" t="s">
        <v>24</v>
      </c>
      <c r="M201" t="s">
        <v>29</v>
      </c>
      <c r="N201" t="str">
        <f>IF(SalesTbl[[#This Row],[Profit]]&gt;180,"High Profit","Low Profit")</f>
        <v>High Profit</v>
      </c>
      <c r="O201" t="str">
        <f>TEXT(SalesTbl[[#This Row],[Date]],"mmm")</f>
        <v>Feb</v>
      </c>
    </row>
    <row r="202" spans="1:15" x14ac:dyDescent="0.3">
      <c r="A202">
        <v>1201</v>
      </c>
      <c r="B202" t="s">
        <v>66</v>
      </c>
      <c r="C202" t="s">
        <v>40</v>
      </c>
      <c r="D202" t="s">
        <v>15</v>
      </c>
      <c r="E202" t="s">
        <v>22</v>
      </c>
      <c r="F202" t="s">
        <v>23</v>
      </c>
      <c r="G202">
        <v>5</v>
      </c>
      <c r="H202">
        <v>499</v>
      </c>
      <c r="I202">
        <v>2495</v>
      </c>
      <c r="J202">
        <v>1671</v>
      </c>
      <c r="K202">
        <v>824</v>
      </c>
      <c r="L202" t="s">
        <v>33</v>
      </c>
      <c r="M202" t="s">
        <v>19</v>
      </c>
      <c r="N202" t="str">
        <f>IF(SalesTbl[[#This Row],[Profit]]&gt;180,"High Profit","Low Profit")</f>
        <v>High Profit</v>
      </c>
      <c r="O202" t="str">
        <f>TEXT(SalesTbl[[#This Row],[Date]],"mmm")</f>
        <v>Apr</v>
      </c>
    </row>
    <row r="203" spans="1:15" x14ac:dyDescent="0.3">
      <c r="A203">
        <v>1202</v>
      </c>
      <c r="B203" t="s">
        <v>158</v>
      </c>
      <c r="C203" t="s">
        <v>21</v>
      </c>
      <c r="D203" t="s">
        <v>15</v>
      </c>
      <c r="E203" t="s">
        <v>48</v>
      </c>
      <c r="F203" t="s">
        <v>23</v>
      </c>
      <c r="G203">
        <v>5</v>
      </c>
      <c r="H203">
        <v>480</v>
      </c>
      <c r="I203">
        <v>2400</v>
      </c>
      <c r="J203">
        <v>1896</v>
      </c>
      <c r="K203">
        <v>504</v>
      </c>
      <c r="L203" t="s">
        <v>28</v>
      </c>
      <c r="M203" t="s">
        <v>19</v>
      </c>
      <c r="N203" t="str">
        <f>IF(SalesTbl[[#This Row],[Profit]]&gt;180,"High Profit","Low Profit")</f>
        <v>High Profit</v>
      </c>
      <c r="O203" t="str">
        <f>TEXT(SalesTbl[[#This Row],[Date]],"mmm")</f>
        <v>Feb</v>
      </c>
    </row>
    <row r="204" spans="1:15" x14ac:dyDescent="0.3">
      <c r="A204">
        <v>1203</v>
      </c>
      <c r="B204" t="s">
        <v>97</v>
      </c>
      <c r="C204" t="s">
        <v>31</v>
      </c>
      <c r="D204" t="s">
        <v>35</v>
      </c>
      <c r="E204" t="s">
        <v>16</v>
      </c>
      <c r="F204" t="s">
        <v>17</v>
      </c>
      <c r="G204">
        <v>6</v>
      </c>
      <c r="H204">
        <v>259</v>
      </c>
      <c r="I204">
        <v>1554</v>
      </c>
      <c r="J204">
        <v>1056</v>
      </c>
      <c r="K204">
        <v>498</v>
      </c>
      <c r="L204" t="s">
        <v>18</v>
      </c>
      <c r="M204" t="s">
        <v>29</v>
      </c>
      <c r="N204" t="str">
        <f>IF(SalesTbl[[#This Row],[Profit]]&gt;180,"High Profit","Low Profit")</f>
        <v>High Profit</v>
      </c>
      <c r="O204" t="str">
        <f>TEXT(SalesTbl[[#This Row],[Date]],"mmm")</f>
        <v>Apr</v>
      </c>
    </row>
    <row r="205" spans="1:15" x14ac:dyDescent="0.3">
      <c r="A205">
        <v>1204</v>
      </c>
      <c r="B205" t="s">
        <v>50</v>
      </c>
      <c r="C205" t="s">
        <v>14</v>
      </c>
      <c r="D205" t="s">
        <v>35</v>
      </c>
      <c r="E205" t="s">
        <v>22</v>
      </c>
      <c r="F205" t="s">
        <v>23</v>
      </c>
      <c r="G205">
        <v>2</v>
      </c>
      <c r="H205">
        <v>480</v>
      </c>
      <c r="I205">
        <v>960</v>
      </c>
      <c r="J205">
        <v>652</v>
      </c>
      <c r="K205">
        <v>308</v>
      </c>
      <c r="L205" t="s">
        <v>18</v>
      </c>
      <c r="M205" t="s">
        <v>29</v>
      </c>
      <c r="N205" t="str">
        <f>IF(SalesTbl[[#This Row],[Profit]]&gt;180,"High Profit","Low Profit")</f>
        <v>High Profit</v>
      </c>
      <c r="O205" t="str">
        <f>TEXT(SalesTbl[[#This Row],[Date]],"mmm")</f>
        <v>Jun</v>
      </c>
    </row>
    <row r="206" spans="1:15" x14ac:dyDescent="0.3">
      <c r="A206">
        <v>1804</v>
      </c>
      <c r="B206" t="s">
        <v>96</v>
      </c>
      <c r="C206" t="s">
        <v>40</v>
      </c>
      <c r="D206" t="s">
        <v>35</v>
      </c>
      <c r="E206" t="s">
        <v>41</v>
      </c>
      <c r="F206" t="s">
        <v>17</v>
      </c>
      <c r="G206">
        <v>8</v>
      </c>
      <c r="H206">
        <v>797</v>
      </c>
      <c r="I206">
        <v>6376</v>
      </c>
      <c r="J206">
        <v>5037</v>
      </c>
      <c r="K206">
        <v>1339</v>
      </c>
      <c r="L206" t="s">
        <v>33</v>
      </c>
      <c r="M206" t="s">
        <v>29</v>
      </c>
      <c r="N206" t="str">
        <f>IF(SalesTbl[[#This Row],[Profit]]&gt;180,"High Profit","Low Profit")</f>
        <v>High Profit</v>
      </c>
      <c r="O206" t="str">
        <f>TEXT(SalesTbl[[#This Row],[Date]],"mmm")</f>
        <v>Jun</v>
      </c>
    </row>
    <row r="207" spans="1:15" x14ac:dyDescent="0.3">
      <c r="A207">
        <v>1206</v>
      </c>
      <c r="B207" t="s">
        <v>143</v>
      </c>
      <c r="C207" t="s">
        <v>31</v>
      </c>
      <c r="D207" t="s">
        <v>32</v>
      </c>
      <c r="E207" t="s">
        <v>54</v>
      </c>
      <c r="F207" t="s">
        <v>17</v>
      </c>
      <c r="G207">
        <v>3</v>
      </c>
      <c r="H207">
        <v>497</v>
      </c>
      <c r="I207">
        <v>1491</v>
      </c>
      <c r="J207">
        <v>924</v>
      </c>
      <c r="K207">
        <v>567</v>
      </c>
      <c r="L207" t="s">
        <v>28</v>
      </c>
      <c r="M207" t="s">
        <v>29</v>
      </c>
      <c r="N207" t="str">
        <f>IF(SalesTbl[[#This Row],[Profit]]&gt;180,"High Profit","Low Profit")</f>
        <v>High Profit</v>
      </c>
      <c r="O207" t="str">
        <f>TEXT(SalesTbl[[#This Row],[Date]],"mmm")</f>
        <v>Mar</v>
      </c>
    </row>
    <row r="208" spans="1:15" x14ac:dyDescent="0.3">
      <c r="A208">
        <v>1207</v>
      </c>
      <c r="B208" t="s">
        <v>155</v>
      </c>
      <c r="C208" t="s">
        <v>40</v>
      </c>
      <c r="D208" t="s">
        <v>15</v>
      </c>
      <c r="E208" t="s">
        <v>48</v>
      </c>
      <c r="F208" t="s">
        <v>23</v>
      </c>
      <c r="G208">
        <v>8</v>
      </c>
      <c r="H208">
        <v>360</v>
      </c>
      <c r="I208">
        <v>2880</v>
      </c>
      <c r="J208">
        <v>2160</v>
      </c>
      <c r="K208">
        <v>720</v>
      </c>
      <c r="L208" t="s">
        <v>28</v>
      </c>
      <c r="M208" t="s">
        <v>19</v>
      </c>
      <c r="N208" t="str">
        <f>IF(SalesTbl[[#This Row],[Profit]]&gt;180,"High Profit","Low Profit")</f>
        <v>High Profit</v>
      </c>
      <c r="O208" t="str">
        <f>TEXT(SalesTbl[[#This Row],[Date]],"mmm")</f>
        <v>Mar</v>
      </c>
    </row>
    <row r="209" spans="1:15" x14ac:dyDescent="0.3">
      <c r="A209">
        <v>1208</v>
      </c>
      <c r="B209" t="s">
        <v>86</v>
      </c>
      <c r="C209" t="s">
        <v>31</v>
      </c>
      <c r="D209" t="s">
        <v>32</v>
      </c>
      <c r="E209" t="s">
        <v>27</v>
      </c>
      <c r="F209" t="s">
        <v>17</v>
      </c>
      <c r="G209">
        <v>8</v>
      </c>
      <c r="H209">
        <v>143</v>
      </c>
      <c r="I209">
        <v>1144</v>
      </c>
      <c r="J209">
        <v>697</v>
      </c>
      <c r="K209">
        <v>447</v>
      </c>
      <c r="L209" t="s">
        <v>18</v>
      </c>
      <c r="M209" t="s">
        <v>19</v>
      </c>
      <c r="N209" t="str">
        <f>IF(SalesTbl[[#This Row],[Profit]]&gt;180,"High Profit","Low Profit")</f>
        <v>High Profit</v>
      </c>
      <c r="O209" t="str">
        <f>TEXT(SalesTbl[[#This Row],[Date]],"mmm")</f>
        <v>Apr</v>
      </c>
    </row>
    <row r="210" spans="1:15" x14ac:dyDescent="0.3">
      <c r="A210">
        <v>1896</v>
      </c>
      <c r="B210" t="s">
        <v>50</v>
      </c>
      <c r="C210" t="s">
        <v>40</v>
      </c>
      <c r="D210" t="s">
        <v>32</v>
      </c>
      <c r="E210" t="s">
        <v>16</v>
      </c>
      <c r="F210" t="s">
        <v>17</v>
      </c>
      <c r="G210">
        <v>6</v>
      </c>
      <c r="H210">
        <v>824</v>
      </c>
      <c r="I210">
        <v>4944</v>
      </c>
      <c r="J210">
        <v>3609</v>
      </c>
      <c r="K210">
        <v>1335</v>
      </c>
      <c r="L210" t="s">
        <v>38</v>
      </c>
      <c r="M210" t="s">
        <v>19</v>
      </c>
      <c r="N210" t="str">
        <f>IF(SalesTbl[[#This Row],[Profit]]&gt;180,"High Profit","Low Profit")</f>
        <v>High Profit</v>
      </c>
      <c r="O210" t="str">
        <f>TEXT(SalesTbl[[#This Row],[Date]],"mmm")</f>
        <v>Jun</v>
      </c>
    </row>
    <row r="211" spans="1:15" x14ac:dyDescent="0.3">
      <c r="A211">
        <v>1210</v>
      </c>
      <c r="B211" t="s">
        <v>25</v>
      </c>
      <c r="C211" t="s">
        <v>21</v>
      </c>
      <c r="D211" t="s">
        <v>15</v>
      </c>
      <c r="E211" t="s">
        <v>41</v>
      </c>
      <c r="F211" t="s">
        <v>17</v>
      </c>
      <c r="G211">
        <v>8</v>
      </c>
      <c r="H211">
        <v>976</v>
      </c>
      <c r="I211">
        <v>7808</v>
      </c>
      <c r="J211">
        <v>5543</v>
      </c>
      <c r="K211">
        <v>2265</v>
      </c>
      <c r="L211" t="s">
        <v>38</v>
      </c>
      <c r="M211" t="s">
        <v>29</v>
      </c>
      <c r="N211" t="str">
        <f>IF(SalesTbl[[#This Row],[Profit]]&gt;180,"High Profit","Low Profit")</f>
        <v>High Profit</v>
      </c>
      <c r="O211" t="str">
        <f>TEXT(SalesTbl[[#This Row],[Date]],"mmm")</f>
        <v>Feb</v>
      </c>
    </row>
    <row r="212" spans="1:15" x14ac:dyDescent="0.3">
      <c r="A212">
        <v>1211</v>
      </c>
      <c r="B212" t="s">
        <v>80</v>
      </c>
      <c r="C212" t="s">
        <v>21</v>
      </c>
      <c r="D212" t="s">
        <v>32</v>
      </c>
      <c r="E212" t="s">
        <v>16</v>
      </c>
      <c r="F212" t="s">
        <v>17</v>
      </c>
      <c r="G212">
        <v>8</v>
      </c>
      <c r="H212">
        <v>615</v>
      </c>
      <c r="I212">
        <v>4920</v>
      </c>
      <c r="J212">
        <v>3739</v>
      </c>
      <c r="K212">
        <v>1181</v>
      </c>
      <c r="L212" t="s">
        <v>24</v>
      </c>
      <c r="M212" t="s">
        <v>19</v>
      </c>
      <c r="N212" t="str">
        <f>IF(SalesTbl[[#This Row],[Profit]]&gt;180,"High Profit","Low Profit")</f>
        <v>High Profit</v>
      </c>
      <c r="O212" t="str">
        <f>TEXT(SalesTbl[[#This Row],[Date]],"mmm")</f>
        <v>Apr</v>
      </c>
    </row>
    <row r="213" spans="1:15" x14ac:dyDescent="0.3">
      <c r="A213">
        <v>1205</v>
      </c>
      <c r="B213" t="s">
        <v>159</v>
      </c>
      <c r="C213" t="s">
        <v>40</v>
      </c>
      <c r="D213" t="s">
        <v>15</v>
      </c>
      <c r="E213" t="s">
        <v>41</v>
      </c>
      <c r="F213" t="s">
        <v>17</v>
      </c>
      <c r="G213">
        <v>6</v>
      </c>
      <c r="H213">
        <v>709</v>
      </c>
      <c r="I213">
        <v>4254</v>
      </c>
      <c r="J213">
        <v>2935</v>
      </c>
      <c r="K213">
        <v>1319</v>
      </c>
      <c r="L213" t="s">
        <v>28</v>
      </c>
      <c r="M213" t="s">
        <v>19</v>
      </c>
      <c r="N213" t="str">
        <f>IF(SalesTbl[[#This Row],[Profit]]&gt;180,"High Profit","Low Profit")</f>
        <v>High Profit</v>
      </c>
      <c r="O213" t="str">
        <f>TEXT(SalesTbl[[#This Row],[Date]],"mmm")</f>
        <v>Apr</v>
      </c>
    </row>
    <row r="214" spans="1:15" x14ac:dyDescent="0.3">
      <c r="A214">
        <v>1213</v>
      </c>
      <c r="B214" t="s">
        <v>161</v>
      </c>
      <c r="C214" t="s">
        <v>21</v>
      </c>
      <c r="D214" t="s">
        <v>32</v>
      </c>
      <c r="E214" t="s">
        <v>27</v>
      </c>
      <c r="F214" t="s">
        <v>17</v>
      </c>
      <c r="G214">
        <v>9</v>
      </c>
      <c r="H214">
        <v>453</v>
      </c>
      <c r="I214">
        <v>4077</v>
      </c>
      <c r="J214">
        <v>2894</v>
      </c>
      <c r="K214">
        <v>1183</v>
      </c>
      <c r="L214" t="s">
        <v>24</v>
      </c>
      <c r="M214" t="s">
        <v>19</v>
      </c>
      <c r="N214" t="str">
        <f>IF(SalesTbl[[#This Row],[Profit]]&gt;180,"High Profit","Low Profit")</f>
        <v>High Profit</v>
      </c>
      <c r="O214" t="str">
        <f>TEXT(SalesTbl[[#This Row],[Date]],"mmm")</f>
        <v>Mar</v>
      </c>
    </row>
    <row r="215" spans="1:15" x14ac:dyDescent="0.3">
      <c r="A215">
        <v>1126</v>
      </c>
      <c r="B215" t="s">
        <v>127</v>
      </c>
      <c r="C215" t="s">
        <v>40</v>
      </c>
      <c r="D215" t="s">
        <v>15</v>
      </c>
      <c r="E215" t="s">
        <v>41</v>
      </c>
      <c r="F215" t="s">
        <v>17</v>
      </c>
      <c r="G215">
        <v>10</v>
      </c>
      <c r="H215">
        <v>326</v>
      </c>
      <c r="I215">
        <v>3260</v>
      </c>
      <c r="J215">
        <v>1988</v>
      </c>
      <c r="K215">
        <v>1272</v>
      </c>
      <c r="L215" t="s">
        <v>38</v>
      </c>
      <c r="M215" t="s">
        <v>19</v>
      </c>
      <c r="N215" t="str">
        <f>IF(SalesTbl[[#This Row],[Profit]]&gt;180,"High Profit","Low Profit")</f>
        <v>High Profit</v>
      </c>
      <c r="O215" t="str">
        <f>TEXT(SalesTbl[[#This Row],[Date]],"mmm")</f>
        <v>Mar</v>
      </c>
    </row>
    <row r="216" spans="1:15" x14ac:dyDescent="0.3">
      <c r="A216">
        <v>1215</v>
      </c>
      <c r="B216" t="s">
        <v>61</v>
      </c>
      <c r="C216" t="s">
        <v>40</v>
      </c>
      <c r="D216" t="s">
        <v>35</v>
      </c>
      <c r="E216" t="s">
        <v>22</v>
      </c>
      <c r="F216" t="s">
        <v>23</v>
      </c>
      <c r="G216">
        <v>6</v>
      </c>
      <c r="H216">
        <v>349</v>
      </c>
      <c r="I216">
        <v>2094</v>
      </c>
      <c r="J216">
        <v>1319</v>
      </c>
      <c r="K216">
        <v>775</v>
      </c>
      <c r="L216" t="s">
        <v>24</v>
      </c>
      <c r="M216" t="s">
        <v>29</v>
      </c>
      <c r="N216" t="str">
        <f>IF(SalesTbl[[#This Row],[Profit]]&gt;180,"High Profit","Low Profit")</f>
        <v>High Profit</v>
      </c>
      <c r="O216" t="str">
        <f>TEXT(SalesTbl[[#This Row],[Date]],"mmm")</f>
        <v>Jun</v>
      </c>
    </row>
    <row r="217" spans="1:15" x14ac:dyDescent="0.3">
      <c r="A217">
        <v>1216</v>
      </c>
      <c r="B217" t="s">
        <v>143</v>
      </c>
      <c r="C217" t="s">
        <v>21</v>
      </c>
      <c r="D217" t="s">
        <v>26</v>
      </c>
      <c r="E217" t="s">
        <v>27</v>
      </c>
      <c r="F217" t="s">
        <v>17</v>
      </c>
      <c r="G217">
        <v>9</v>
      </c>
      <c r="H217">
        <v>124</v>
      </c>
      <c r="I217">
        <v>1116</v>
      </c>
      <c r="J217">
        <v>892</v>
      </c>
      <c r="K217">
        <v>224</v>
      </c>
      <c r="L217" t="s">
        <v>33</v>
      </c>
      <c r="M217" t="s">
        <v>29</v>
      </c>
      <c r="N217" t="str">
        <f>IF(SalesTbl[[#This Row],[Profit]]&gt;180,"High Profit","Low Profit")</f>
        <v>High Profit</v>
      </c>
      <c r="O217" t="str">
        <f>TEXT(SalesTbl[[#This Row],[Date]],"mmm")</f>
        <v>Mar</v>
      </c>
    </row>
    <row r="218" spans="1:15" x14ac:dyDescent="0.3">
      <c r="A218">
        <v>1217</v>
      </c>
      <c r="B218" t="s">
        <v>73</v>
      </c>
      <c r="C218" t="s">
        <v>14</v>
      </c>
      <c r="D218" t="s">
        <v>32</v>
      </c>
      <c r="E218" t="s">
        <v>22</v>
      </c>
      <c r="F218" t="s">
        <v>23</v>
      </c>
      <c r="G218">
        <v>1</v>
      </c>
      <c r="H218">
        <v>468</v>
      </c>
      <c r="I218">
        <v>468</v>
      </c>
      <c r="J218">
        <v>327</v>
      </c>
      <c r="K218">
        <v>141</v>
      </c>
      <c r="L218" t="s">
        <v>38</v>
      </c>
      <c r="M218" t="s">
        <v>19</v>
      </c>
      <c r="N218" t="str">
        <f>IF(SalesTbl[[#This Row],[Profit]]&gt;180,"High Profit","Low Profit")</f>
        <v>Low Profit</v>
      </c>
      <c r="O218" t="str">
        <f>TEXT(SalesTbl[[#This Row],[Date]],"mmm")</f>
        <v>Jun</v>
      </c>
    </row>
    <row r="219" spans="1:15" x14ac:dyDescent="0.3">
      <c r="A219">
        <v>1218</v>
      </c>
      <c r="B219" t="s">
        <v>91</v>
      </c>
      <c r="C219" t="s">
        <v>31</v>
      </c>
      <c r="D219" t="s">
        <v>32</v>
      </c>
      <c r="E219" t="s">
        <v>48</v>
      </c>
      <c r="F219" t="s">
        <v>23</v>
      </c>
      <c r="G219">
        <v>9</v>
      </c>
      <c r="H219">
        <v>197</v>
      </c>
      <c r="I219">
        <v>1773</v>
      </c>
      <c r="J219">
        <v>1099</v>
      </c>
      <c r="K219">
        <v>674</v>
      </c>
      <c r="L219" t="s">
        <v>33</v>
      </c>
      <c r="M219" t="s">
        <v>29</v>
      </c>
      <c r="N219" t="str">
        <f>IF(SalesTbl[[#This Row],[Profit]]&gt;180,"High Profit","Low Profit")</f>
        <v>High Profit</v>
      </c>
      <c r="O219" t="str">
        <f>TEXT(SalesTbl[[#This Row],[Date]],"mmm")</f>
        <v>Feb</v>
      </c>
    </row>
    <row r="220" spans="1:15" x14ac:dyDescent="0.3">
      <c r="A220">
        <v>1219</v>
      </c>
      <c r="B220" t="s">
        <v>134</v>
      </c>
      <c r="C220" t="s">
        <v>31</v>
      </c>
      <c r="D220" t="s">
        <v>26</v>
      </c>
      <c r="E220" t="s">
        <v>41</v>
      </c>
      <c r="F220" t="s">
        <v>17</v>
      </c>
      <c r="G220">
        <v>2</v>
      </c>
      <c r="H220">
        <v>544</v>
      </c>
      <c r="I220">
        <v>1088</v>
      </c>
      <c r="J220">
        <v>761</v>
      </c>
      <c r="K220">
        <v>327</v>
      </c>
      <c r="L220" t="s">
        <v>24</v>
      </c>
      <c r="M220" t="s">
        <v>29</v>
      </c>
      <c r="N220" t="str">
        <f>IF(SalesTbl[[#This Row],[Profit]]&gt;180,"High Profit","Low Profit")</f>
        <v>High Profit</v>
      </c>
      <c r="O220" t="str">
        <f>TEXT(SalesTbl[[#This Row],[Date]],"mmm")</f>
        <v>Jan</v>
      </c>
    </row>
    <row r="221" spans="1:15" x14ac:dyDescent="0.3">
      <c r="A221">
        <v>1220</v>
      </c>
      <c r="B221" t="s">
        <v>162</v>
      </c>
      <c r="C221" t="s">
        <v>21</v>
      </c>
      <c r="D221" t="s">
        <v>35</v>
      </c>
      <c r="E221" t="s">
        <v>22</v>
      </c>
      <c r="F221" t="s">
        <v>23</v>
      </c>
      <c r="G221">
        <v>3</v>
      </c>
      <c r="H221">
        <v>587</v>
      </c>
      <c r="I221">
        <v>1761</v>
      </c>
      <c r="J221">
        <v>1109</v>
      </c>
      <c r="K221">
        <v>652</v>
      </c>
      <c r="L221" t="s">
        <v>38</v>
      </c>
      <c r="M221" t="s">
        <v>19</v>
      </c>
      <c r="N221" t="str">
        <f>IF(SalesTbl[[#This Row],[Profit]]&gt;180,"High Profit","Low Profit")</f>
        <v>High Profit</v>
      </c>
      <c r="O221" t="str">
        <f>TEXT(SalesTbl[[#This Row],[Date]],"mmm")</f>
        <v>Apr</v>
      </c>
    </row>
    <row r="222" spans="1:15" x14ac:dyDescent="0.3">
      <c r="A222">
        <v>1221</v>
      </c>
      <c r="B222" t="s">
        <v>94</v>
      </c>
      <c r="C222" t="s">
        <v>21</v>
      </c>
      <c r="D222" t="s">
        <v>35</v>
      </c>
      <c r="E222" t="s">
        <v>54</v>
      </c>
      <c r="F222" t="s">
        <v>17</v>
      </c>
      <c r="G222">
        <v>2</v>
      </c>
      <c r="H222">
        <v>153</v>
      </c>
      <c r="I222">
        <v>306</v>
      </c>
      <c r="J222">
        <v>229</v>
      </c>
      <c r="K222">
        <v>77</v>
      </c>
      <c r="L222" t="s">
        <v>24</v>
      </c>
      <c r="M222" t="s">
        <v>19</v>
      </c>
      <c r="N222" t="str">
        <f>IF(SalesTbl[[#This Row],[Profit]]&gt;180,"High Profit","Low Profit")</f>
        <v>Low Profit</v>
      </c>
      <c r="O222" t="str">
        <f>TEXT(SalesTbl[[#This Row],[Date]],"mmm")</f>
        <v>Mar</v>
      </c>
    </row>
    <row r="223" spans="1:15" x14ac:dyDescent="0.3">
      <c r="A223">
        <v>1222</v>
      </c>
      <c r="B223" t="s">
        <v>157</v>
      </c>
      <c r="C223" t="s">
        <v>21</v>
      </c>
      <c r="D223" t="s">
        <v>26</v>
      </c>
      <c r="E223" t="s">
        <v>54</v>
      </c>
      <c r="F223" t="s">
        <v>17</v>
      </c>
      <c r="G223">
        <v>7</v>
      </c>
      <c r="H223">
        <v>144</v>
      </c>
      <c r="I223">
        <v>1008</v>
      </c>
      <c r="J223">
        <v>685</v>
      </c>
      <c r="K223">
        <v>323</v>
      </c>
      <c r="L223" t="s">
        <v>24</v>
      </c>
      <c r="M223" t="s">
        <v>29</v>
      </c>
      <c r="N223" t="str">
        <f>IF(SalesTbl[[#This Row],[Profit]]&gt;180,"High Profit","Low Profit")</f>
        <v>High Profit</v>
      </c>
      <c r="O223" t="str">
        <f>TEXT(SalesTbl[[#This Row],[Date]],"mmm")</f>
        <v>Feb</v>
      </c>
    </row>
    <row r="224" spans="1:15" x14ac:dyDescent="0.3">
      <c r="A224">
        <v>1223</v>
      </c>
      <c r="B224" t="s">
        <v>163</v>
      </c>
      <c r="C224" t="s">
        <v>14</v>
      </c>
      <c r="D224" t="s">
        <v>15</v>
      </c>
      <c r="E224" t="s">
        <v>48</v>
      </c>
      <c r="F224" t="s">
        <v>23</v>
      </c>
      <c r="G224">
        <v>8</v>
      </c>
      <c r="H224">
        <v>553</v>
      </c>
      <c r="I224">
        <v>4424</v>
      </c>
      <c r="J224">
        <v>3318</v>
      </c>
      <c r="K224">
        <v>1106</v>
      </c>
      <c r="L224" t="s">
        <v>24</v>
      </c>
      <c r="M224" t="s">
        <v>19</v>
      </c>
      <c r="N224" t="str">
        <f>IF(SalesTbl[[#This Row],[Profit]]&gt;180,"High Profit","Low Profit")</f>
        <v>High Profit</v>
      </c>
      <c r="O224" t="str">
        <f>TEXT(SalesTbl[[#This Row],[Date]],"mmm")</f>
        <v>Feb</v>
      </c>
    </row>
    <row r="225" spans="1:15" x14ac:dyDescent="0.3">
      <c r="A225">
        <v>1224</v>
      </c>
      <c r="B225" t="s">
        <v>132</v>
      </c>
      <c r="C225" t="s">
        <v>21</v>
      </c>
      <c r="D225" t="s">
        <v>15</v>
      </c>
      <c r="E225" t="s">
        <v>27</v>
      </c>
      <c r="F225" t="s">
        <v>17</v>
      </c>
      <c r="G225">
        <v>10</v>
      </c>
      <c r="H225">
        <v>792</v>
      </c>
      <c r="I225">
        <v>7920</v>
      </c>
      <c r="J225">
        <v>5306</v>
      </c>
      <c r="K225">
        <v>2614</v>
      </c>
      <c r="L225" t="s">
        <v>24</v>
      </c>
      <c r="M225" t="s">
        <v>29</v>
      </c>
      <c r="N225" t="str">
        <f>IF(SalesTbl[[#This Row],[Profit]]&gt;180,"High Profit","Low Profit")</f>
        <v>High Profit</v>
      </c>
      <c r="O225" t="str">
        <f>TEXT(SalesTbl[[#This Row],[Date]],"mmm")</f>
        <v>Jan</v>
      </c>
    </row>
    <row r="226" spans="1:15" x14ac:dyDescent="0.3">
      <c r="A226">
        <v>1225</v>
      </c>
      <c r="B226" t="s">
        <v>83</v>
      </c>
      <c r="C226" t="s">
        <v>21</v>
      </c>
      <c r="D226" t="s">
        <v>26</v>
      </c>
      <c r="E226" t="s">
        <v>16</v>
      </c>
      <c r="F226" t="s">
        <v>17</v>
      </c>
      <c r="G226">
        <v>2</v>
      </c>
      <c r="H226">
        <v>411</v>
      </c>
      <c r="I226">
        <v>822</v>
      </c>
      <c r="J226">
        <v>583</v>
      </c>
      <c r="K226">
        <v>239</v>
      </c>
      <c r="L226" t="s">
        <v>24</v>
      </c>
      <c r="M226" t="s">
        <v>19</v>
      </c>
      <c r="N226" t="str">
        <f>IF(SalesTbl[[#This Row],[Profit]]&gt;180,"High Profit","Low Profit")</f>
        <v>High Profit</v>
      </c>
      <c r="O226" t="str">
        <f>TEXT(SalesTbl[[#This Row],[Date]],"mmm")</f>
        <v>Jun</v>
      </c>
    </row>
    <row r="227" spans="1:15" x14ac:dyDescent="0.3">
      <c r="A227">
        <v>1811</v>
      </c>
      <c r="B227" t="s">
        <v>92</v>
      </c>
      <c r="C227" t="s">
        <v>40</v>
      </c>
      <c r="D227" t="s">
        <v>35</v>
      </c>
      <c r="E227" t="s">
        <v>41</v>
      </c>
      <c r="F227" t="s">
        <v>17</v>
      </c>
      <c r="G227">
        <v>4</v>
      </c>
      <c r="H227">
        <v>859</v>
      </c>
      <c r="I227">
        <v>3436</v>
      </c>
      <c r="J227">
        <v>2164</v>
      </c>
      <c r="K227">
        <v>1272</v>
      </c>
      <c r="L227" t="s">
        <v>38</v>
      </c>
      <c r="M227" t="s">
        <v>19</v>
      </c>
      <c r="N227" t="str">
        <f>IF(SalesTbl[[#This Row],[Profit]]&gt;180,"High Profit","Low Profit")</f>
        <v>High Profit</v>
      </c>
      <c r="O227" t="str">
        <f>TEXT(SalesTbl[[#This Row],[Date]],"mmm")</f>
        <v>Feb</v>
      </c>
    </row>
    <row r="228" spans="1:15" x14ac:dyDescent="0.3">
      <c r="A228">
        <v>1227</v>
      </c>
      <c r="B228" t="s">
        <v>37</v>
      </c>
      <c r="C228" t="s">
        <v>31</v>
      </c>
      <c r="D228" t="s">
        <v>15</v>
      </c>
      <c r="E228" t="s">
        <v>41</v>
      </c>
      <c r="F228" t="s">
        <v>17</v>
      </c>
      <c r="G228">
        <v>5</v>
      </c>
      <c r="H228">
        <v>164</v>
      </c>
      <c r="I228">
        <v>820</v>
      </c>
      <c r="J228">
        <v>533</v>
      </c>
      <c r="K228">
        <v>287</v>
      </c>
      <c r="L228" t="s">
        <v>33</v>
      </c>
      <c r="M228" t="s">
        <v>19</v>
      </c>
      <c r="N228" t="str">
        <f>IF(SalesTbl[[#This Row],[Profit]]&gt;180,"High Profit","Low Profit")</f>
        <v>High Profit</v>
      </c>
      <c r="O228" t="str">
        <f>TEXT(SalesTbl[[#This Row],[Date]],"mmm")</f>
        <v>Jan</v>
      </c>
    </row>
    <row r="229" spans="1:15" x14ac:dyDescent="0.3">
      <c r="A229">
        <v>1228</v>
      </c>
      <c r="B229" t="s">
        <v>164</v>
      </c>
      <c r="C229" t="s">
        <v>31</v>
      </c>
      <c r="D229" t="s">
        <v>32</v>
      </c>
      <c r="E229" t="s">
        <v>27</v>
      </c>
      <c r="F229" t="s">
        <v>17</v>
      </c>
      <c r="G229">
        <v>6</v>
      </c>
      <c r="H229">
        <v>625</v>
      </c>
      <c r="I229">
        <v>3750</v>
      </c>
      <c r="J229">
        <v>2962</v>
      </c>
      <c r="K229">
        <v>788</v>
      </c>
      <c r="L229" t="s">
        <v>24</v>
      </c>
      <c r="M229" t="s">
        <v>19</v>
      </c>
      <c r="N229" t="str">
        <f>IF(SalesTbl[[#This Row],[Profit]]&gt;180,"High Profit","Low Profit")</f>
        <v>High Profit</v>
      </c>
      <c r="O229" t="str">
        <f>TEXT(SalesTbl[[#This Row],[Date]],"mmm")</f>
        <v>May</v>
      </c>
    </row>
    <row r="230" spans="1:15" x14ac:dyDescent="0.3">
      <c r="A230">
        <v>1229</v>
      </c>
      <c r="B230" t="s">
        <v>112</v>
      </c>
      <c r="C230" t="s">
        <v>21</v>
      </c>
      <c r="D230" t="s">
        <v>15</v>
      </c>
      <c r="E230" t="s">
        <v>41</v>
      </c>
      <c r="F230" t="s">
        <v>17</v>
      </c>
      <c r="G230">
        <v>1</v>
      </c>
      <c r="H230">
        <v>102</v>
      </c>
      <c r="I230">
        <v>102</v>
      </c>
      <c r="J230">
        <v>68</v>
      </c>
      <c r="K230">
        <v>34</v>
      </c>
      <c r="L230" t="s">
        <v>38</v>
      </c>
      <c r="M230" t="s">
        <v>19</v>
      </c>
      <c r="N230" t="str">
        <f>IF(SalesTbl[[#This Row],[Profit]]&gt;180,"High Profit","Low Profit")</f>
        <v>Low Profit</v>
      </c>
      <c r="O230" t="str">
        <f>TEXT(SalesTbl[[#This Row],[Date]],"mmm")</f>
        <v>Jun</v>
      </c>
    </row>
    <row r="231" spans="1:15" x14ac:dyDescent="0.3">
      <c r="A231">
        <v>1230</v>
      </c>
      <c r="B231" t="s">
        <v>96</v>
      </c>
      <c r="C231" t="s">
        <v>14</v>
      </c>
      <c r="D231" t="s">
        <v>32</v>
      </c>
      <c r="E231" t="s">
        <v>48</v>
      </c>
      <c r="F231" t="s">
        <v>23</v>
      </c>
      <c r="G231">
        <v>2</v>
      </c>
      <c r="H231">
        <v>588</v>
      </c>
      <c r="I231">
        <v>1176</v>
      </c>
      <c r="J231">
        <v>870</v>
      </c>
      <c r="K231">
        <v>306</v>
      </c>
      <c r="L231" t="s">
        <v>24</v>
      </c>
      <c r="M231" t="s">
        <v>19</v>
      </c>
      <c r="N231" t="str">
        <f>IF(SalesTbl[[#This Row],[Profit]]&gt;180,"High Profit","Low Profit")</f>
        <v>High Profit</v>
      </c>
      <c r="O231" t="str">
        <f>TEXT(SalesTbl[[#This Row],[Date]],"mmm")</f>
        <v>Jun</v>
      </c>
    </row>
    <row r="232" spans="1:15" x14ac:dyDescent="0.3">
      <c r="A232">
        <v>1231</v>
      </c>
      <c r="B232" t="s">
        <v>133</v>
      </c>
      <c r="C232" t="s">
        <v>14</v>
      </c>
      <c r="D232" t="s">
        <v>32</v>
      </c>
      <c r="E232" t="s">
        <v>48</v>
      </c>
      <c r="F232" t="s">
        <v>23</v>
      </c>
      <c r="G232">
        <v>3</v>
      </c>
      <c r="H232">
        <v>980</v>
      </c>
      <c r="I232">
        <v>2940</v>
      </c>
      <c r="J232">
        <v>2322</v>
      </c>
      <c r="K232">
        <v>618</v>
      </c>
      <c r="L232" t="s">
        <v>33</v>
      </c>
      <c r="M232" t="s">
        <v>19</v>
      </c>
      <c r="N232" t="str">
        <f>IF(SalesTbl[[#This Row],[Profit]]&gt;180,"High Profit","Low Profit")</f>
        <v>High Profit</v>
      </c>
      <c r="O232" t="str">
        <f>TEXT(SalesTbl[[#This Row],[Date]],"mmm")</f>
        <v>May</v>
      </c>
    </row>
    <row r="233" spans="1:15" x14ac:dyDescent="0.3">
      <c r="A233">
        <v>1619</v>
      </c>
      <c r="B233" t="s">
        <v>94</v>
      </c>
      <c r="C233" t="s">
        <v>40</v>
      </c>
      <c r="D233" t="s">
        <v>35</v>
      </c>
      <c r="E233" t="s">
        <v>27</v>
      </c>
      <c r="F233" t="s">
        <v>17</v>
      </c>
      <c r="G233">
        <v>5</v>
      </c>
      <c r="H233">
        <v>903</v>
      </c>
      <c r="I233">
        <v>4515</v>
      </c>
      <c r="J233">
        <v>3250</v>
      </c>
      <c r="K233">
        <v>1265</v>
      </c>
      <c r="L233" t="s">
        <v>33</v>
      </c>
      <c r="M233" t="s">
        <v>19</v>
      </c>
      <c r="N233" t="str">
        <f>IF(SalesTbl[[#This Row],[Profit]]&gt;180,"High Profit","Low Profit")</f>
        <v>High Profit</v>
      </c>
      <c r="O233" t="str">
        <f>TEXT(SalesTbl[[#This Row],[Date]],"mmm")</f>
        <v>Mar</v>
      </c>
    </row>
    <row r="234" spans="1:15" x14ac:dyDescent="0.3">
      <c r="A234">
        <v>1233</v>
      </c>
      <c r="B234" t="s">
        <v>57</v>
      </c>
      <c r="C234" t="s">
        <v>14</v>
      </c>
      <c r="D234" t="s">
        <v>15</v>
      </c>
      <c r="E234" t="s">
        <v>27</v>
      </c>
      <c r="F234" t="s">
        <v>17</v>
      </c>
      <c r="G234">
        <v>10</v>
      </c>
      <c r="H234">
        <v>536</v>
      </c>
      <c r="I234">
        <v>5360</v>
      </c>
      <c r="J234">
        <v>3591</v>
      </c>
      <c r="K234">
        <v>1769</v>
      </c>
      <c r="L234" t="s">
        <v>38</v>
      </c>
      <c r="M234" t="s">
        <v>19</v>
      </c>
      <c r="N234" t="str">
        <f>IF(SalesTbl[[#This Row],[Profit]]&gt;180,"High Profit","Low Profit")</f>
        <v>High Profit</v>
      </c>
      <c r="O234" t="str">
        <f>TEXT(SalesTbl[[#This Row],[Date]],"mmm")</f>
        <v>Apr</v>
      </c>
    </row>
    <row r="235" spans="1:15" x14ac:dyDescent="0.3">
      <c r="A235">
        <v>1234</v>
      </c>
      <c r="B235" t="s">
        <v>148</v>
      </c>
      <c r="C235" t="s">
        <v>14</v>
      </c>
      <c r="D235" t="s">
        <v>26</v>
      </c>
      <c r="E235" t="s">
        <v>16</v>
      </c>
      <c r="F235" t="s">
        <v>17</v>
      </c>
      <c r="G235">
        <v>9</v>
      </c>
      <c r="H235">
        <v>744</v>
      </c>
      <c r="I235">
        <v>6696</v>
      </c>
      <c r="J235">
        <v>4687</v>
      </c>
      <c r="K235">
        <v>2009</v>
      </c>
      <c r="L235" t="s">
        <v>18</v>
      </c>
      <c r="M235" t="s">
        <v>29</v>
      </c>
      <c r="N235" t="str">
        <f>IF(SalesTbl[[#This Row],[Profit]]&gt;180,"High Profit","Low Profit")</f>
        <v>High Profit</v>
      </c>
      <c r="O235" t="str">
        <f>TEXT(SalesTbl[[#This Row],[Date]],"mmm")</f>
        <v>Mar</v>
      </c>
    </row>
    <row r="236" spans="1:15" x14ac:dyDescent="0.3">
      <c r="A236">
        <v>1235</v>
      </c>
      <c r="B236" t="s">
        <v>166</v>
      </c>
      <c r="C236" t="s">
        <v>14</v>
      </c>
      <c r="D236" t="s">
        <v>15</v>
      </c>
      <c r="E236" t="s">
        <v>16</v>
      </c>
      <c r="F236" t="s">
        <v>17</v>
      </c>
      <c r="G236">
        <v>9</v>
      </c>
      <c r="H236">
        <v>286</v>
      </c>
      <c r="I236">
        <v>2574</v>
      </c>
      <c r="J236">
        <v>1776</v>
      </c>
      <c r="K236">
        <v>798</v>
      </c>
      <c r="L236" t="s">
        <v>33</v>
      </c>
      <c r="M236" t="s">
        <v>29</v>
      </c>
      <c r="N236" t="str">
        <f>IF(SalesTbl[[#This Row],[Profit]]&gt;180,"High Profit","Low Profit")</f>
        <v>High Profit</v>
      </c>
      <c r="O236" t="str">
        <f>TEXT(SalesTbl[[#This Row],[Date]],"mmm")</f>
        <v>Jan</v>
      </c>
    </row>
    <row r="237" spans="1:15" x14ac:dyDescent="0.3">
      <c r="A237">
        <v>1236</v>
      </c>
      <c r="B237" t="s">
        <v>114</v>
      </c>
      <c r="C237" t="s">
        <v>14</v>
      </c>
      <c r="D237" t="s">
        <v>35</v>
      </c>
      <c r="E237" t="s">
        <v>54</v>
      </c>
      <c r="F237" t="s">
        <v>17</v>
      </c>
      <c r="G237">
        <v>1</v>
      </c>
      <c r="H237">
        <v>882</v>
      </c>
      <c r="I237">
        <v>882</v>
      </c>
      <c r="J237">
        <v>661</v>
      </c>
      <c r="K237">
        <v>221</v>
      </c>
      <c r="L237" t="s">
        <v>18</v>
      </c>
      <c r="M237" t="s">
        <v>29</v>
      </c>
      <c r="N237" t="str">
        <f>IF(SalesTbl[[#This Row],[Profit]]&gt;180,"High Profit","Low Profit")</f>
        <v>High Profit</v>
      </c>
      <c r="O237" t="str">
        <f>TEXT(SalesTbl[[#This Row],[Date]],"mmm")</f>
        <v>Jan</v>
      </c>
    </row>
    <row r="238" spans="1:15" x14ac:dyDescent="0.3">
      <c r="A238">
        <v>1237</v>
      </c>
      <c r="B238" t="s">
        <v>167</v>
      </c>
      <c r="C238" t="s">
        <v>21</v>
      </c>
      <c r="D238" t="s">
        <v>35</v>
      </c>
      <c r="E238" t="s">
        <v>54</v>
      </c>
      <c r="F238" t="s">
        <v>17</v>
      </c>
      <c r="G238">
        <v>2</v>
      </c>
      <c r="H238">
        <v>945</v>
      </c>
      <c r="I238">
        <v>1890</v>
      </c>
      <c r="J238">
        <v>1417</v>
      </c>
      <c r="K238">
        <v>473</v>
      </c>
      <c r="L238" t="s">
        <v>18</v>
      </c>
      <c r="M238" t="s">
        <v>29</v>
      </c>
      <c r="N238" t="str">
        <f>IF(SalesTbl[[#This Row],[Profit]]&gt;180,"High Profit","Low Profit")</f>
        <v>High Profit</v>
      </c>
      <c r="O238" t="str">
        <f>TEXT(SalesTbl[[#This Row],[Date]],"mmm")</f>
        <v>Jan</v>
      </c>
    </row>
    <row r="239" spans="1:15" x14ac:dyDescent="0.3">
      <c r="A239">
        <v>1238</v>
      </c>
      <c r="B239" t="s">
        <v>168</v>
      </c>
      <c r="C239" t="s">
        <v>14</v>
      </c>
      <c r="D239" t="s">
        <v>26</v>
      </c>
      <c r="E239" t="s">
        <v>54</v>
      </c>
      <c r="F239" t="s">
        <v>17</v>
      </c>
      <c r="G239">
        <v>5</v>
      </c>
      <c r="H239">
        <v>408</v>
      </c>
      <c r="I239">
        <v>2040</v>
      </c>
      <c r="J239">
        <v>1346</v>
      </c>
      <c r="K239">
        <v>694</v>
      </c>
      <c r="L239" t="s">
        <v>28</v>
      </c>
      <c r="M239" t="s">
        <v>19</v>
      </c>
      <c r="N239" t="str">
        <f>IF(SalesTbl[[#This Row],[Profit]]&gt;180,"High Profit","Low Profit")</f>
        <v>High Profit</v>
      </c>
      <c r="O239" t="str">
        <f>TEXT(SalesTbl[[#This Row],[Date]],"mmm")</f>
        <v>Mar</v>
      </c>
    </row>
    <row r="240" spans="1:15" x14ac:dyDescent="0.3">
      <c r="A240">
        <v>1239</v>
      </c>
      <c r="B240" t="s">
        <v>77</v>
      </c>
      <c r="C240" t="s">
        <v>21</v>
      </c>
      <c r="D240" t="s">
        <v>26</v>
      </c>
      <c r="E240" t="s">
        <v>16</v>
      </c>
      <c r="F240" t="s">
        <v>17</v>
      </c>
      <c r="G240">
        <v>4</v>
      </c>
      <c r="H240">
        <v>184</v>
      </c>
      <c r="I240">
        <v>736</v>
      </c>
      <c r="J240">
        <v>588</v>
      </c>
      <c r="K240">
        <v>148</v>
      </c>
      <c r="L240" t="s">
        <v>38</v>
      </c>
      <c r="M240" t="s">
        <v>19</v>
      </c>
      <c r="N240" t="str">
        <f>IF(SalesTbl[[#This Row],[Profit]]&gt;180,"High Profit","Low Profit")</f>
        <v>Low Profit</v>
      </c>
      <c r="O240" t="str">
        <f>TEXT(SalesTbl[[#This Row],[Date]],"mmm")</f>
        <v>May</v>
      </c>
    </row>
    <row r="241" spans="1:15" x14ac:dyDescent="0.3">
      <c r="A241">
        <v>1072</v>
      </c>
      <c r="B241" t="s">
        <v>98</v>
      </c>
      <c r="C241" t="s">
        <v>40</v>
      </c>
      <c r="D241" t="s">
        <v>35</v>
      </c>
      <c r="E241" t="s">
        <v>54</v>
      </c>
      <c r="F241" t="s">
        <v>17</v>
      </c>
      <c r="G241">
        <v>5</v>
      </c>
      <c r="H241">
        <v>688</v>
      </c>
      <c r="I241">
        <v>3440</v>
      </c>
      <c r="J241">
        <v>2201</v>
      </c>
      <c r="K241">
        <v>1239</v>
      </c>
      <c r="L241" t="s">
        <v>24</v>
      </c>
      <c r="M241" t="s">
        <v>29</v>
      </c>
      <c r="N241" t="str">
        <f>IF(SalesTbl[[#This Row],[Profit]]&gt;180,"High Profit","Low Profit")</f>
        <v>High Profit</v>
      </c>
      <c r="O241" t="str">
        <f>TEXT(SalesTbl[[#This Row],[Date]],"mmm")</f>
        <v>May</v>
      </c>
    </row>
    <row r="242" spans="1:15" x14ac:dyDescent="0.3">
      <c r="A242">
        <v>1241</v>
      </c>
      <c r="B242" t="s">
        <v>127</v>
      </c>
      <c r="C242" t="s">
        <v>14</v>
      </c>
      <c r="D242" t="s">
        <v>15</v>
      </c>
      <c r="E242" t="s">
        <v>16</v>
      </c>
      <c r="F242" t="s">
        <v>17</v>
      </c>
      <c r="G242">
        <v>10</v>
      </c>
      <c r="H242">
        <v>606</v>
      </c>
      <c r="I242">
        <v>6060</v>
      </c>
      <c r="J242">
        <v>4726</v>
      </c>
      <c r="K242">
        <v>1334</v>
      </c>
      <c r="L242" t="s">
        <v>33</v>
      </c>
      <c r="M242" t="s">
        <v>19</v>
      </c>
      <c r="N242" t="str">
        <f>IF(SalesTbl[[#This Row],[Profit]]&gt;180,"High Profit","Low Profit")</f>
        <v>High Profit</v>
      </c>
      <c r="O242" t="str">
        <f>TEXT(SalesTbl[[#This Row],[Date]],"mmm")</f>
        <v>Mar</v>
      </c>
    </row>
    <row r="243" spans="1:15" x14ac:dyDescent="0.3">
      <c r="A243">
        <v>1817</v>
      </c>
      <c r="B243" t="s">
        <v>68</v>
      </c>
      <c r="C243" t="s">
        <v>40</v>
      </c>
      <c r="D243" t="s">
        <v>26</v>
      </c>
      <c r="E243" t="s">
        <v>16</v>
      </c>
      <c r="F243" t="s">
        <v>17</v>
      </c>
      <c r="G243">
        <v>6</v>
      </c>
      <c r="H243">
        <v>931</v>
      </c>
      <c r="I243">
        <v>5586</v>
      </c>
      <c r="J243">
        <v>4357</v>
      </c>
      <c r="K243">
        <v>1229</v>
      </c>
      <c r="L243" t="s">
        <v>33</v>
      </c>
      <c r="M243" t="s">
        <v>29</v>
      </c>
      <c r="N243" t="str">
        <f>IF(SalesTbl[[#This Row],[Profit]]&gt;180,"High Profit","Low Profit")</f>
        <v>High Profit</v>
      </c>
      <c r="O243" t="str">
        <f>TEXT(SalesTbl[[#This Row],[Date]],"mmm")</f>
        <v>Apr</v>
      </c>
    </row>
    <row r="244" spans="1:15" x14ac:dyDescent="0.3">
      <c r="A244">
        <v>1243</v>
      </c>
      <c r="B244" t="s">
        <v>73</v>
      </c>
      <c r="C244" t="s">
        <v>21</v>
      </c>
      <c r="D244" t="s">
        <v>15</v>
      </c>
      <c r="E244" t="s">
        <v>54</v>
      </c>
      <c r="F244" t="s">
        <v>17</v>
      </c>
      <c r="G244">
        <v>9</v>
      </c>
      <c r="H244">
        <v>322</v>
      </c>
      <c r="I244">
        <v>2898</v>
      </c>
      <c r="J244">
        <v>1970</v>
      </c>
      <c r="K244">
        <v>928</v>
      </c>
      <c r="L244" t="s">
        <v>28</v>
      </c>
      <c r="M244" t="s">
        <v>29</v>
      </c>
      <c r="N244" t="str">
        <f>IF(SalesTbl[[#This Row],[Profit]]&gt;180,"High Profit","Low Profit")</f>
        <v>High Profit</v>
      </c>
      <c r="O244" t="str">
        <f>TEXT(SalesTbl[[#This Row],[Date]],"mmm")</f>
        <v>Jun</v>
      </c>
    </row>
    <row r="245" spans="1:15" x14ac:dyDescent="0.3">
      <c r="A245">
        <v>1008</v>
      </c>
      <c r="B245" t="s">
        <v>39</v>
      </c>
      <c r="C245" t="s">
        <v>40</v>
      </c>
      <c r="D245" t="s">
        <v>35</v>
      </c>
      <c r="E245" t="s">
        <v>41</v>
      </c>
      <c r="F245" t="s">
        <v>17</v>
      </c>
      <c r="G245">
        <v>6</v>
      </c>
      <c r="H245">
        <v>618</v>
      </c>
      <c r="I245">
        <v>3708</v>
      </c>
      <c r="J245">
        <v>2484</v>
      </c>
      <c r="K245">
        <v>1224</v>
      </c>
      <c r="L245" t="s">
        <v>18</v>
      </c>
      <c r="M245" t="s">
        <v>19</v>
      </c>
      <c r="N245" t="str">
        <f>IF(SalesTbl[[#This Row],[Profit]]&gt;180,"High Profit","Low Profit")</f>
        <v>High Profit</v>
      </c>
      <c r="O245" t="str">
        <f>TEXT(SalesTbl[[#This Row],[Date]],"mmm")</f>
        <v>Mar</v>
      </c>
    </row>
    <row r="246" spans="1:15" x14ac:dyDescent="0.3">
      <c r="A246">
        <v>1245</v>
      </c>
      <c r="B246" t="s">
        <v>169</v>
      </c>
      <c r="C246" t="s">
        <v>31</v>
      </c>
      <c r="D246" t="s">
        <v>32</v>
      </c>
      <c r="E246" t="s">
        <v>54</v>
      </c>
      <c r="F246" t="s">
        <v>17</v>
      </c>
      <c r="G246">
        <v>4</v>
      </c>
      <c r="H246">
        <v>789</v>
      </c>
      <c r="I246">
        <v>3156</v>
      </c>
      <c r="J246">
        <v>2493</v>
      </c>
      <c r="K246">
        <v>663</v>
      </c>
      <c r="L246" t="s">
        <v>28</v>
      </c>
      <c r="M246" t="s">
        <v>29</v>
      </c>
      <c r="N246" t="str">
        <f>IF(SalesTbl[[#This Row],[Profit]]&gt;180,"High Profit","Low Profit")</f>
        <v>High Profit</v>
      </c>
      <c r="O246" t="str">
        <f>TEXT(SalesTbl[[#This Row],[Date]],"mmm")</f>
        <v>May</v>
      </c>
    </row>
    <row r="247" spans="1:15" x14ac:dyDescent="0.3">
      <c r="A247">
        <v>1246</v>
      </c>
      <c r="B247" t="s">
        <v>46</v>
      </c>
      <c r="C247" t="s">
        <v>21</v>
      </c>
      <c r="D247" t="s">
        <v>32</v>
      </c>
      <c r="E247" t="s">
        <v>16</v>
      </c>
      <c r="F247" t="s">
        <v>17</v>
      </c>
      <c r="G247">
        <v>2</v>
      </c>
      <c r="H247">
        <v>585</v>
      </c>
      <c r="I247">
        <v>1170</v>
      </c>
      <c r="J247">
        <v>912</v>
      </c>
      <c r="K247">
        <v>258</v>
      </c>
      <c r="L247" t="s">
        <v>28</v>
      </c>
      <c r="M247" t="s">
        <v>19</v>
      </c>
      <c r="N247" t="str">
        <f>IF(SalesTbl[[#This Row],[Profit]]&gt;180,"High Profit","Low Profit")</f>
        <v>High Profit</v>
      </c>
      <c r="O247" t="str">
        <f>TEXT(SalesTbl[[#This Row],[Date]],"mmm")</f>
        <v>Mar</v>
      </c>
    </row>
    <row r="248" spans="1:15" x14ac:dyDescent="0.3">
      <c r="A248">
        <v>1247</v>
      </c>
      <c r="B248" t="s">
        <v>120</v>
      </c>
      <c r="C248" t="s">
        <v>31</v>
      </c>
      <c r="D248" t="s">
        <v>35</v>
      </c>
      <c r="E248" t="s">
        <v>22</v>
      </c>
      <c r="F248" t="s">
        <v>23</v>
      </c>
      <c r="G248">
        <v>1</v>
      </c>
      <c r="H248">
        <v>937</v>
      </c>
      <c r="I248">
        <v>937</v>
      </c>
      <c r="J248">
        <v>665</v>
      </c>
      <c r="K248">
        <v>272</v>
      </c>
      <c r="L248" t="s">
        <v>28</v>
      </c>
      <c r="M248" t="s">
        <v>29</v>
      </c>
      <c r="N248" t="str">
        <f>IF(SalesTbl[[#This Row],[Profit]]&gt;180,"High Profit","Low Profit")</f>
        <v>High Profit</v>
      </c>
      <c r="O248" t="str">
        <f>TEXT(SalesTbl[[#This Row],[Date]],"mmm")</f>
        <v>Jan</v>
      </c>
    </row>
    <row r="249" spans="1:15" x14ac:dyDescent="0.3">
      <c r="A249">
        <v>1248</v>
      </c>
      <c r="B249" t="s">
        <v>20</v>
      </c>
      <c r="C249" t="s">
        <v>31</v>
      </c>
      <c r="D249" t="s">
        <v>35</v>
      </c>
      <c r="E249" t="s">
        <v>41</v>
      </c>
      <c r="F249" t="s">
        <v>17</v>
      </c>
      <c r="G249">
        <v>9</v>
      </c>
      <c r="H249">
        <v>948</v>
      </c>
      <c r="I249">
        <v>8532</v>
      </c>
      <c r="J249">
        <v>6399</v>
      </c>
      <c r="K249">
        <v>2133</v>
      </c>
      <c r="L249" t="s">
        <v>38</v>
      </c>
      <c r="M249" t="s">
        <v>19</v>
      </c>
      <c r="N249" t="str">
        <f>IF(SalesTbl[[#This Row],[Profit]]&gt;180,"High Profit","Low Profit")</f>
        <v>High Profit</v>
      </c>
      <c r="O249" t="str">
        <f>TEXT(SalesTbl[[#This Row],[Date]],"mmm")</f>
        <v>May</v>
      </c>
    </row>
    <row r="250" spans="1:15" x14ac:dyDescent="0.3">
      <c r="A250">
        <v>1249</v>
      </c>
      <c r="B250" t="s">
        <v>66</v>
      </c>
      <c r="C250" t="s">
        <v>31</v>
      </c>
      <c r="D250" t="s">
        <v>35</v>
      </c>
      <c r="E250" t="s">
        <v>27</v>
      </c>
      <c r="F250" t="s">
        <v>17</v>
      </c>
      <c r="G250">
        <v>5</v>
      </c>
      <c r="H250">
        <v>835</v>
      </c>
      <c r="I250">
        <v>4175</v>
      </c>
      <c r="J250">
        <v>2588</v>
      </c>
      <c r="K250">
        <v>1587</v>
      </c>
      <c r="L250" t="s">
        <v>33</v>
      </c>
      <c r="M250" t="s">
        <v>29</v>
      </c>
      <c r="N250" t="str">
        <f>IF(SalesTbl[[#This Row],[Profit]]&gt;180,"High Profit","Low Profit")</f>
        <v>High Profit</v>
      </c>
      <c r="O250" t="str">
        <f>TEXT(SalesTbl[[#This Row],[Date]],"mmm")</f>
        <v>Apr</v>
      </c>
    </row>
    <row r="251" spans="1:15" x14ac:dyDescent="0.3">
      <c r="A251">
        <v>1250</v>
      </c>
      <c r="B251" t="s">
        <v>45</v>
      </c>
      <c r="C251" t="s">
        <v>21</v>
      </c>
      <c r="D251" t="s">
        <v>26</v>
      </c>
      <c r="E251" t="s">
        <v>54</v>
      </c>
      <c r="F251" t="s">
        <v>17</v>
      </c>
      <c r="G251">
        <v>7</v>
      </c>
      <c r="H251">
        <v>489</v>
      </c>
      <c r="I251">
        <v>3423</v>
      </c>
      <c r="J251">
        <v>2704</v>
      </c>
      <c r="K251">
        <v>719</v>
      </c>
      <c r="L251" t="s">
        <v>24</v>
      </c>
      <c r="M251" t="s">
        <v>19</v>
      </c>
      <c r="N251" t="str">
        <f>IF(SalesTbl[[#This Row],[Profit]]&gt;180,"High Profit","Low Profit")</f>
        <v>High Profit</v>
      </c>
      <c r="O251" t="str">
        <f>TEXT(SalesTbl[[#This Row],[Date]],"mmm")</f>
        <v>May</v>
      </c>
    </row>
    <row r="252" spans="1:15" x14ac:dyDescent="0.3">
      <c r="A252">
        <v>1251</v>
      </c>
      <c r="B252" t="s">
        <v>170</v>
      </c>
      <c r="C252" t="s">
        <v>31</v>
      </c>
      <c r="D252" t="s">
        <v>15</v>
      </c>
      <c r="E252" t="s">
        <v>41</v>
      </c>
      <c r="F252" t="s">
        <v>17</v>
      </c>
      <c r="G252">
        <v>9</v>
      </c>
      <c r="H252">
        <v>512</v>
      </c>
      <c r="I252">
        <v>4608</v>
      </c>
      <c r="J252">
        <v>3041</v>
      </c>
      <c r="K252">
        <v>1567</v>
      </c>
      <c r="L252" t="s">
        <v>38</v>
      </c>
      <c r="M252" t="s">
        <v>19</v>
      </c>
      <c r="N252" t="str">
        <f>IF(SalesTbl[[#This Row],[Profit]]&gt;180,"High Profit","Low Profit")</f>
        <v>High Profit</v>
      </c>
      <c r="O252" t="str">
        <f>TEXT(SalesTbl[[#This Row],[Date]],"mmm")</f>
        <v>Jan</v>
      </c>
    </row>
    <row r="253" spans="1:15" x14ac:dyDescent="0.3">
      <c r="A253">
        <v>1161</v>
      </c>
      <c r="B253" t="s">
        <v>81</v>
      </c>
      <c r="C253" t="s">
        <v>40</v>
      </c>
      <c r="D253" t="s">
        <v>15</v>
      </c>
      <c r="E253" t="s">
        <v>16</v>
      </c>
      <c r="F253" t="s">
        <v>17</v>
      </c>
      <c r="G253">
        <v>4</v>
      </c>
      <c r="H253">
        <v>829</v>
      </c>
      <c r="I253">
        <v>3316</v>
      </c>
      <c r="J253">
        <v>2122</v>
      </c>
      <c r="K253">
        <v>1194</v>
      </c>
      <c r="L253" t="s">
        <v>24</v>
      </c>
      <c r="M253" t="s">
        <v>19</v>
      </c>
      <c r="N253" t="str">
        <f>IF(SalesTbl[[#This Row],[Profit]]&gt;180,"High Profit","Low Profit")</f>
        <v>High Profit</v>
      </c>
      <c r="O253" t="str">
        <f>TEXT(SalesTbl[[#This Row],[Date]],"mmm")</f>
        <v>Apr</v>
      </c>
    </row>
    <row r="254" spans="1:15" x14ac:dyDescent="0.3">
      <c r="A254">
        <v>1253</v>
      </c>
      <c r="B254" t="s">
        <v>46</v>
      </c>
      <c r="C254" t="s">
        <v>21</v>
      </c>
      <c r="D254" t="s">
        <v>35</v>
      </c>
      <c r="E254" t="s">
        <v>41</v>
      </c>
      <c r="F254" t="s">
        <v>17</v>
      </c>
      <c r="G254">
        <v>10</v>
      </c>
      <c r="H254">
        <v>73</v>
      </c>
      <c r="I254">
        <v>730</v>
      </c>
      <c r="J254">
        <v>569</v>
      </c>
      <c r="K254">
        <v>161</v>
      </c>
      <c r="L254" t="s">
        <v>24</v>
      </c>
      <c r="M254" t="s">
        <v>29</v>
      </c>
      <c r="N254" t="str">
        <f>IF(SalesTbl[[#This Row],[Profit]]&gt;180,"High Profit","Low Profit")</f>
        <v>Low Profit</v>
      </c>
      <c r="O254" t="str">
        <f>TEXT(SalesTbl[[#This Row],[Date]],"mmm")</f>
        <v>Mar</v>
      </c>
    </row>
    <row r="255" spans="1:15" x14ac:dyDescent="0.3">
      <c r="A255">
        <v>1254</v>
      </c>
      <c r="B255" t="s">
        <v>127</v>
      </c>
      <c r="C255" t="s">
        <v>31</v>
      </c>
      <c r="D255" t="s">
        <v>35</v>
      </c>
      <c r="E255" t="s">
        <v>22</v>
      </c>
      <c r="F255" t="s">
        <v>23</v>
      </c>
      <c r="G255">
        <v>7</v>
      </c>
      <c r="H255">
        <v>988</v>
      </c>
      <c r="I255">
        <v>6916</v>
      </c>
      <c r="J255">
        <v>4841</v>
      </c>
      <c r="K255">
        <v>2075</v>
      </c>
      <c r="L255" t="s">
        <v>38</v>
      </c>
      <c r="M255" t="s">
        <v>19</v>
      </c>
      <c r="N255" t="str">
        <f>IF(SalesTbl[[#This Row],[Profit]]&gt;180,"High Profit","Low Profit")</f>
        <v>High Profit</v>
      </c>
      <c r="O255" t="str">
        <f>TEXT(SalesTbl[[#This Row],[Date]],"mmm")</f>
        <v>Mar</v>
      </c>
    </row>
    <row r="256" spans="1:15" x14ac:dyDescent="0.3">
      <c r="A256">
        <v>1255</v>
      </c>
      <c r="B256" t="s">
        <v>116</v>
      </c>
      <c r="C256" t="s">
        <v>40</v>
      </c>
      <c r="D256" t="s">
        <v>32</v>
      </c>
      <c r="E256" t="s">
        <v>48</v>
      </c>
      <c r="F256" t="s">
        <v>23</v>
      </c>
      <c r="G256">
        <v>8</v>
      </c>
      <c r="H256">
        <v>380</v>
      </c>
      <c r="I256">
        <v>3040</v>
      </c>
      <c r="J256">
        <v>2280</v>
      </c>
      <c r="K256">
        <v>760</v>
      </c>
      <c r="L256" t="s">
        <v>18</v>
      </c>
      <c r="M256" t="s">
        <v>19</v>
      </c>
      <c r="N256" t="str">
        <f>IF(SalesTbl[[#This Row],[Profit]]&gt;180,"High Profit","Low Profit")</f>
        <v>High Profit</v>
      </c>
      <c r="O256" t="str">
        <f>TEXT(SalesTbl[[#This Row],[Date]],"mmm")</f>
        <v>Mar</v>
      </c>
    </row>
    <row r="257" spans="1:15" x14ac:dyDescent="0.3">
      <c r="A257">
        <v>1256</v>
      </c>
      <c r="B257" t="s">
        <v>103</v>
      </c>
      <c r="C257" t="s">
        <v>31</v>
      </c>
      <c r="D257" t="s">
        <v>32</v>
      </c>
      <c r="E257" t="s">
        <v>54</v>
      </c>
      <c r="F257" t="s">
        <v>17</v>
      </c>
      <c r="G257">
        <v>9</v>
      </c>
      <c r="H257">
        <v>561</v>
      </c>
      <c r="I257">
        <v>5049</v>
      </c>
      <c r="J257">
        <v>3786</v>
      </c>
      <c r="K257">
        <v>1263</v>
      </c>
      <c r="L257" t="s">
        <v>33</v>
      </c>
      <c r="M257" t="s">
        <v>19</v>
      </c>
      <c r="N257" t="str">
        <f>IF(SalesTbl[[#This Row],[Profit]]&gt;180,"High Profit","Low Profit")</f>
        <v>High Profit</v>
      </c>
      <c r="O257" t="str">
        <f>TEXT(SalesTbl[[#This Row],[Date]],"mmm")</f>
        <v>Feb</v>
      </c>
    </row>
    <row r="258" spans="1:15" x14ac:dyDescent="0.3">
      <c r="A258">
        <v>1257</v>
      </c>
      <c r="B258" t="s">
        <v>90</v>
      </c>
      <c r="C258" t="s">
        <v>21</v>
      </c>
      <c r="D258" t="s">
        <v>32</v>
      </c>
      <c r="E258" t="s">
        <v>22</v>
      </c>
      <c r="F258" t="s">
        <v>23</v>
      </c>
      <c r="G258">
        <v>5</v>
      </c>
      <c r="H258">
        <v>69</v>
      </c>
      <c r="I258">
        <v>345</v>
      </c>
      <c r="J258">
        <v>251</v>
      </c>
      <c r="K258">
        <v>94</v>
      </c>
      <c r="L258" t="s">
        <v>33</v>
      </c>
      <c r="M258" t="s">
        <v>19</v>
      </c>
      <c r="N258" t="str">
        <f>IF(SalesTbl[[#This Row],[Profit]]&gt;180,"High Profit","Low Profit")</f>
        <v>Low Profit</v>
      </c>
      <c r="O258" t="str">
        <f>TEXT(SalesTbl[[#This Row],[Date]],"mmm")</f>
        <v>Jan</v>
      </c>
    </row>
    <row r="259" spans="1:15" x14ac:dyDescent="0.3">
      <c r="A259">
        <v>1993</v>
      </c>
      <c r="B259" t="s">
        <v>149</v>
      </c>
      <c r="C259" t="s">
        <v>40</v>
      </c>
      <c r="D259" t="s">
        <v>26</v>
      </c>
      <c r="E259" t="s">
        <v>27</v>
      </c>
      <c r="F259" t="s">
        <v>17</v>
      </c>
      <c r="G259">
        <v>4</v>
      </c>
      <c r="H259">
        <v>950</v>
      </c>
      <c r="I259">
        <v>3800</v>
      </c>
      <c r="J259">
        <v>2698</v>
      </c>
      <c r="K259">
        <v>1102</v>
      </c>
      <c r="L259" t="s">
        <v>38</v>
      </c>
      <c r="M259" t="s">
        <v>29</v>
      </c>
      <c r="N259" t="str">
        <f>IF(SalesTbl[[#This Row],[Profit]]&gt;180,"High Profit","Low Profit")</f>
        <v>High Profit</v>
      </c>
      <c r="O259" t="str">
        <f>TEXT(SalesTbl[[#This Row],[Date]],"mmm")</f>
        <v>Mar</v>
      </c>
    </row>
    <row r="260" spans="1:15" x14ac:dyDescent="0.3">
      <c r="A260">
        <v>1259</v>
      </c>
      <c r="B260" t="s">
        <v>98</v>
      </c>
      <c r="C260" t="s">
        <v>40</v>
      </c>
      <c r="D260" t="s">
        <v>26</v>
      </c>
      <c r="E260" t="s">
        <v>22</v>
      </c>
      <c r="F260" t="s">
        <v>23</v>
      </c>
      <c r="G260">
        <v>9</v>
      </c>
      <c r="H260">
        <v>809</v>
      </c>
      <c r="I260">
        <v>7281</v>
      </c>
      <c r="J260">
        <v>4368</v>
      </c>
      <c r="K260">
        <v>2913</v>
      </c>
      <c r="L260" t="s">
        <v>28</v>
      </c>
      <c r="M260" t="s">
        <v>29</v>
      </c>
      <c r="N260" t="str">
        <f>IF(SalesTbl[[#This Row],[Profit]]&gt;180,"High Profit","Low Profit")</f>
        <v>High Profit</v>
      </c>
      <c r="O260" t="str">
        <f>TEXT(SalesTbl[[#This Row],[Date]],"mmm")</f>
        <v>May</v>
      </c>
    </row>
    <row r="261" spans="1:15" x14ac:dyDescent="0.3">
      <c r="A261">
        <v>1260</v>
      </c>
      <c r="B261" t="s">
        <v>172</v>
      </c>
      <c r="C261" t="s">
        <v>31</v>
      </c>
      <c r="D261" t="s">
        <v>15</v>
      </c>
      <c r="E261" t="s">
        <v>41</v>
      </c>
      <c r="F261" t="s">
        <v>17</v>
      </c>
      <c r="G261">
        <v>10</v>
      </c>
      <c r="H261">
        <v>893</v>
      </c>
      <c r="I261">
        <v>8930</v>
      </c>
      <c r="J261">
        <v>6697</v>
      </c>
      <c r="K261">
        <v>2233</v>
      </c>
      <c r="L261" t="s">
        <v>28</v>
      </c>
      <c r="M261" t="s">
        <v>19</v>
      </c>
      <c r="N261" t="str">
        <f>IF(SalesTbl[[#This Row],[Profit]]&gt;180,"High Profit","Low Profit")</f>
        <v>High Profit</v>
      </c>
      <c r="O261" t="str">
        <f>TEXT(SalesTbl[[#This Row],[Date]],"mmm")</f>
        <v>Mar</v>
      </c>
    </row>
    <row r="262" spans="1:15" x14ac:dyDescent="0.3">
      <c r="A262">
        <v>1261</v>
      </c>
      <c r="B262" t="s">
        <v>68</v>
      </c>
      <c r="C262" t="s">
        <v>21</v>
      </c>
      <c r="D262" t="s">
        <v>35</v>
      </c>
      <c r="E262" t="s">
        <v>27</v>
      </c>
      <c r="F262" t="s">
        <v>17</v>
      </c>
      <c r="G262">
        <v>8</v>
      </c>
      <c r="H262">
        <v>659</v>
      </c>
      <c r="I262">
        <v>5272</v>
      </c>
      <c r="J262">
        <v>3163</v>
      </c>
      <c r="K262">
        <v>2109</v>
      </c>
      <c r="L262" t="s">
        <v>18</v>
      </c>
      <c r="M262" t="s">
        <v>19</v>
      </c>
      <c r="N262" t="str">
        <f>IF(SalesTbl[[#This Row],[Profit]]&gt;180,"High Profit","Low Profit")</f>
        <v>High Profit</v>
      </c>
      <c r="O262" t="str">
        <f>TEXT(SalesTbl[[#This Row],[Date]],"mmm")</f>
        <v>Apr</v>
      </c>
    </row>
    <row r="263" spans="1:15" x14ac:dyDescent="0.3">
      <c r="A263">
        <v>1262</v>
      </c>
      <c r="B263" t="s">
        <v>173</v>
      </c>
      <c r="C263" t="s">
        <v>31</v>
      </c>
      <c r="D263" t="s">
        <v>32</v>
      </c>
      <c r="E263" t="s">
        <v>48</v>
      </c>
      <c r="F263" t="s">
        <v>23</v>
      </c>
      <c r="G263">
        <v>8</v>
      </c>
      <c r="H263">
        <v>788</v>
      </c>
      <c r="I263">
        <v>6304</v>
      </c>
      <c r="J263">
        <v>4917</v>
      </c>
      <c r="K263">
        <v>1387</v>
      </c>
      <c r="L263" t="s">
        <v>33</v>
      </c>
      <c r="M263" t="s">
        <v>19</v>
      </c>
      <c r="N263" t="str">
        <f>IF(SalesTbl[[#This Row],[Profit]]&gt;180,"High Profit","Low Profit")</f>
        <v>High Profit</v>
      </c>
      <c r="O263" t="str">
        <f>TEXT(SalesTbl[[#This Row],[Date]],"mmm")</f>
        <v>Feb</v>
      </c>
    </row>
    <row r="264" spans="1:15" x14ac:dyDescent="0.3">
      <c r="A264">
        <v>1263</v>
      </c>
      <c r="B264" t="s">
        <v>174</v>
      </c>
      <c r="C264" t="s">
        <v>40</v>
      </c>
      <c r="D264" t="s">
        <v>15</v>
      </c>
      <c r="E264" t="s">
        <v>48</v>
      </c>
      <c r="F264" t="s">
        <v>23</v>
      </c>
      <c r="G264">
        <v>3</v>
      </c>
      <c r="H264">
        <v>945</v>
      </c>
      <c r="I264">
        <v>2835</v>
      </c>
      <c r="J264">
        <v>1786</v>
      </c>
      <c r="K264">
        <v>1049</v>
      </c>
      <c r="L264" t="s">
        <v>38</v>
      </c>
      <c r="M264" t="s">
        <v>19</v>
      </c>
      <c r="N264" t="str">
        <f>IF(SalesTbl[[#This Row],[Profit]]&gt;180,"High Profit","Low Profit")</f>
        <v>High Profit</v>
      </c>
      <c r="O264" t="str">
        <f>TEXT(SalesTbl[[#This Row],[Date]],"mmm")</f>
        <v>Mar</v>
      </c>
    </row>
    <row r="265" spans="1:15" x14ac:dyDescent="0.3">
      <c r="A265">
        <v>1264</v>
      </c>
      <c r="B265" t="s">
        <v>175</v>
      </c>
      <c r="C265" t="s">
        <v>31</v>
      </c>
      <c r="D265" t="s">
        <v>35</v>
      </c>
      <c r="E265" t="s">
        <v>16</v>
      </c>
      <c r="F265" t="s">
        <v>17</v>
      </c>
      <c r="G265">
        <v>4</v>
      </c>
      <c r="H265">
        <v>170</v>
      </c>
      <c r="I265">
        <v>680</v>
      </c>
      <c r="J265">
        <v>530</v>
      </c>
      <c r="K265">
        <v>150</v>
      </c>
      <c r="L265" t="s">
        <v>28</v>
      </c>
      <c r="M265" t="s">
        <v>29</v>
      </c>
      <c r="N265" t="str">
        <f>IF(SalesTbl[[#This Row],[Profit]]&gt;180,"High Profit","Low Profit")</f>
        <v>Low Profit</v>
      </c>
      <c r="O265" t="str">
        <f>TEXT(SalesTbl[[#This Row],[Date]],"mmm")</f>
        <v>May</v>
      </c>
    </row>
    <row r="266" spans="1:15" x14ac:dyDescent="0.3">
      <c r="A266">
        <v>1265</v>
      </c>
      <c r="B266" t="s">
        <v>155</v>
      </c>
      <c r="C266" t="s">
        <v>21</v>
      </c>
      <c r="D266" t="s">
        <v>32</v>
      </c>
      <c r="E266" t="s">
        <v>48</v>
      </c>
      <c r="F266" t="s">
        <v>23</v>
      </c>
      <c r="G266">
        <v>5</v>
      </c>
      <c r="H266">
        <v>692</v>
      </c>
      <c r="I266">
        <v>3460</v>
      </c>
      <c r="J266">
        <v>2560</v>
      </c>
      <c r="K266">
        <v>900</v>
      </c>
      <c r="L266" t="s">
        <v>18</v>
      </c>
      <c r="M266" t="s">
        <v>29</v>
      </c>
      <c r="N266" t="str">
        <f>IF(SalesTbl[[#This Row],[Profit]]&gt;180,"High Profit","Low Profit")</f>
        <v>High Profit</v>
      </c>
      <c r="O266" t="str">
        <f>TEXT(SalesTbl[[#This Row],[Date]],"mmm")</f>
        <v>Mar</v>
      </c>
    </row>
    <row r="267" spans="1:15" x14ac:dyDescent="0.3">
      <c r="A267">
        <v>1266</v>
      </c>
      <c r="B267" t="s">
        <v>176</v>
      </c>
      <c r="C267" t="s">
        <v>21</v>
      </c>
      <c r="D267" t="s">
        <v>35</v>
      </c>
      <c r="E267" t="s">
        <v>54</v>
      </c>
      <c r="F267" t="s">
        <v>17</v>
      </c>
      <c r="G267">
        <v>5</v>
      </c>
      <c r="H267">
        <v>667</v>
      </c>
      <c r="I267">
        <v>3335</v>
      </c>
      <c r="J267">
        <v>2067</v>
      </c>
      <c r="K267">
        <v>1268</v>
      </c>
      <c r="L267" t="s">
        <v>18</v>
      </c>
      <c r="M267" t="s">
        <v>19</v>
      </c>
      <c r="N267" t="str">
        <f>IF(SalesTbl[[#This Row],[Profit]]&gt;180,"High Profit","Low Profit")</f>
        <v>High Profit</v>
      </c>
      <c r="O267" t="str">
        <f>TEXT(SalesTbl[[#This Row],[Date]],"mmm")</f>
        <v>Jan</v>
      </c>
    </row>
    <row r="268" spans="1:15" x14ac:dyDescent="0.3">
      <c r="A268">
        <v>1267</v>
      </c>
      <c r="B268" t="s">
        <v>177</v>
      </c>
      <c r="C268" t="s">
        <v>21</v>
      </c>
      <c r="D268" t="s">
        <v>15</v>
      </c>
      <c r="E268" t="s">
        <v>54</v>
      </c>
      <c r="F268" t="s">
        <v>17</v>
      </c>
      <c r="G268">
        <v>9</v>
      </c>
      <c r="H268">
        <v>118</v>
      </c>
      <c r="I268">
        <v>1062</v>
      </c>
      <c r="J268">
        <v>711</v>
      </c>
      <c r="K268">
        <v>351</v>
      </c>
      <c r="L268" t="s">
        <v>33</v>
      </c>
      <c r="M268" t="s">
        <v>29</v>
      </c>
      <c r="N268" t="str">
        <f>IF(SalesTbl[[#This Row],[Profit]]&gt;180,"High Profit","Low Profit")</f>
        <v>High Profit</v>
      </c>
      <c r="O268" t="str">
        <f>TEXT(SalesTbl[[#This Row],[Date]],"mmm")</f>
        <v>Feb</v>
      </c>
    </row>
    <row r="269" spans="1:15" x14ac:dyDescent="0.3">
      <c r="A269">
        <v>1101</v>
      </c>
      <c r="B269" t="s">
        <v>107</v>
      </c>
      <c r="C269" t="s">
        <v>40</v>
      </c>
      <c r="D269" t="s">
        <v>32</v>
      </c>
      <c r="E269" t="s">
        <v>54</v>
      </c>
      <c r="F269" t="s">
        <v>17</v>
      </c>
      <c r="G269">
        <v>4</v>
      </c>
      <c r="H269">
        <v>920</v>
      </c>
      <c r="I269">
        <v>3680</v>
      </c>
      <c r="J269">
        <v>2612</v>
      </c>
      <c r="K269">
        <v>1068</v>
      </c>
      <c r="L269" t="s">
        <v>28</v>
      </c>
      <c r="M269" t="s">
        <v>19</v>
      </c>
      <c r="N269" t="str">
        <f>IF(SalesTbl[[#This Row],[Profit]]&gt;180,"High Profit","Low Profit")</f>
        <v>High Profit</v>
      </c>
      <c r="O269" t="str">
        <f>TEXT(SalesTbl[[#This Row],[Date]],"mmm")</f>
        <v>Apr</v>
      </c>
    </row>
    <row r="270" spans="1:15" x14ac:dyDescent="0.3">
      <c r="A270">
        <v>1269</v>
      </c>
      <c r="B270" t="s">
        <v>178</v>
      </c>
      <c r="C270" t="s">
        <v>40</v>
      </c>
      <c r="D270" t="s">
        <v>26</v>
      </c>
      <c r="E270" t="s">
        <v>48</v>
      </c>
      <c r="F270" t="s">
        <v>23</v>
      </c>
      <c r="G270">
        <v>6</v>
      </c>
      <c r="H270">
        <v>318</v>
      </c>
      <c r="I270">
        <v>1908</v>
      </c>
      <c r="J270">
        <v>1202</v>
      </c>
      <c r="K270">
        <v>706</v>
      </c>
      <c r="L270" t="s">
        <v>38</v>
      </c>
      <c r="M270" t="s">
        <v>29</v>
      </c>
      <c r="N270" t="str">
        <f>IF(SalesTbl[[#This Row],[Profit]]&gt;180,"High Profit","Low Profit")</f>
        <v>High Profit</v>
      </c>
      <c r="O270" t="str">
        <f>TEXT(SalesTbl[[#This Row],[Date]],"mmm")</f>
        <v>Feb</v>
      </c>
    </row>
    <row r="271" spans="1:15" x14ac:dyDescent="0.3">
      <c r="A271">
        <v>1270</v>
      </c>
      <c r="B271" t="s">
        <v>165</v>
      </c>
      <c r="C271" t="s">
        <v>14</v>
      </c>
      <c r="D271" t="s">
        <v>26</v>
      </c>
      <c r="E271" t="s">
        <v>27</v>
      </c>
      <c r="F271" t="s">
        <v>17</v>
      </c>
      <c r="G271">
        <v>5</v>
      </c>
      <c r="H271">
        <v>630</v>
      </c>
      <c r="I271">
        <v>3150</v>
      </c>
      <c r="J271">
        <v>1953</v>
      </c>
      <c r="K271">
        <v>1197</v>
      </c>
      <c r="L271" t="s">
        <v>33</v>
      </c>
      <c r="M271" t="s">
        <v>29</v>
      </c>
      <c r="N271" t="str">
        <f>IF(SalesTbl[[#This Row],[Profit]]&gt;180,"High Profit","Low Profit")</f>
        <v>High Profit</v>
      </c>
      <c r="O271" t="str">
        <f>TEXT(SalesTbl[[#This Row],[Date]],"mmm")</f>
        <v>Mar</v>
      </c>
    </row>
    <row r="272" spans="1:15" x14ac:dyDescent="0.3">
      <c r="A272">
        <v>1271</v>
      </c>
      <c r="B272" t="s">
        <v>152</v>
      </c>
      <c r="C272" t="s">
        <v>14</v>
      </c>
      <c r="D272" t="s">
        <v>32</v>
      </c>
      <c r="E272" t="s">
        <v>22</v>
      </c>
      <c r="F272" t="s">
        <v>23</v>
      </c>
      <c r="G272">
        <v>8</v>
      </c>
      <c r="H272">
        <v>994</v>
      </c>
      <c r="I272">
        <v>7952</v>
      </c>
      <c r="J272">
        <v>5804</v>
      </c>
      <c r="K272">
        <v>2148</v>
      </c>
      <c r="L272" t="s">
        <v>33</v>
      </c>
      <c r="M272" t="s">
        <v>29</v>
      </c>
      <c r="N272" t="str">
        <f>IF(SalesTbl[[#This Row],[Profit]]&gt;180,"High Profit","Low Profit")</f>
        <v>High Profit</v>
      </c>
      <c r="O272" t="str">
        <f>TEXT(SalesTbl[[#This Row],[Date]],"mmm")</f>
        <v>Apr</v>
      </c>
    </row>
    <row r="273" spans="1:15" x14ac:dyDescent="0.3">
      <c r="A273">
        <v>1272</v>
      </c>
      <c r="B273" t="s">
        <v>160</v>
      </c>
      <c r="C273" t="s">
        <v>14</v>
      </c>
      <c r="D273" t="s">
        <v>35</v>
      </c>
      <c r="E273" t="s">
        <v>27</v>
      </c>
      <c r="F273" t="s">
        <v>17</v>
      </c>
      <c r="G273">
        <v>9</v>
      </c>
      <c r="H273">
        <v>864</v>
      </c>
      <c r="I273">
        <v>7776</v>
      </c>
      <c r="J273">
        <v>6065</v>
      </c>
      <c r="K273">
        <v>1711</v>
      </c>
      <c r="L273" t="s">
        <v>33</v>
      </c>
      <c r="M273" t="s">
        <v>19</v>
      </c>
      <c r="N273" t="str">
        <f>IF(SalesTbl[[#This Row],[Profit]]&gt;180,"High Profit","Low Profit")</f>
        <v>High Profit</v>
      </c>
      <c r="O273" t="str">
        <f>TEXT(SalesTbl[[#This Row],[Date]],"mmm")</f>
        <v>Jan</v>
      </c>
    </row>
    <row r="274" spans="1:15" x14ac:dyDescent="0.3">
      <c r="A274">
        <v>1655</v>
      </c>
      <c r="B274" t="s">
        <v>197</v>
      </c>
      <c r="C274" t="s">
        <v>40</v>
      </c>
      <c r="D274" t="s">
        <v>15</v>
      </c>
      <c r="E274" t="s">
        <v>41</v>
      </c>
      <c r="F274" t="s">
        <v>17</v>
      </c>
      <c r="G274">
        <v>9</v>
      </c>
      <c r="H274">
        <v>370</v>
      </c>
      <c r="I274">
        <v>3330</v>
      </c>
      <c r="J274">
        <v>2297</v>
      </c>
      <c r="K274">
        <v>1033</v>
      </c>
      <c r="L274" t="s">
        <v>33</v>
      </c>
      <c r="M274" t="s">
        <v>29</v>
      </c>
      <c r="N274" t="str">
        <f>IF(SalesTbl[[#This Row],[Profit]]&gt;180,"High Profit","Low Profit")</f>
        <v>High Profit</v>
      </c>
      <c r="O274" t="str">
        <f>TEXT(SalesTbl[[#This Row],[Date]],"mmm")</f>
        <v>Apr</v>
      </c>
    </row>
    <row r="275" spans="1:15" x14ac:dyDescent="0.3">
      <c r="A275">
        <v>1274</v>
      </c>
      <c r="B275" t="s">
        <v>180</v>
      </c>
      <c r="C275" t="s">
        <v>21</v>
      </c>
      <c r="D275" t="s">
        <v>32</v>
      </c>
      <c r="E275" t="s">
        <v>48</v>
      </c>
      <c r="F275" t="s">
        <v>23</v>
      </c>
      <c r="G275">
        <v>8</v>
      </c>
      <c r="H275">
        <v>919</v>
      </c>
      <c r="I275">
        <v>7352</v>
      </c>
      <c r="J275">
        <v>5881</v>
      </c>
      <c r="K275">
        <v>1471</v>
      </c>
      <c r="L275" t="s">
        <v>38</v>
      </c>
      <c r="M275" t="s">
        <v>19</v>
      </c>
      <c r="N275" t="str">
        <f>IF(SalesTbl[[#This Row],[Profit]]&gt;180,"High Profit","Low Profit")</f>
        <v>High Profit</v>
      </c>
      <c r="O275" t="str">
        <f>TEXT(SalesTbl[[#This Row],[Date]],"mmm")</f>
        <v>Feb</v>
      </c>
    </row>
    <row r="276" spans="1:15" x14ac:dyDescent="0.3">
      <c r="A276">
        <v>1275</v>
      </c>
      <c r="B276" t="s">
        <v>157</v>
      </c>
      <c r="C276" t="s">
        <v>40</v>
      </c>
      <c r="D276" t="s">
        <v>26</v>
      </c>
      <c r="E276" t="s">
        <v>22</v>
      </c>
      <c r="F276" t="s">
        <v>23</v>
      </c>
      <c r="G276">
        <v>2</v>
      </c>
      <c r="H276">
        <v>511</v>
      </c>
      <c r="I276">
        <v>1022</v>
      </c>
      <c r="J276">
        <v>633</v>
      </c>
      <c r="K276">
        <v>389</v>
      </c>
      <c r="L276" t="s">
        <v>24</v>
      </c>
      <c r="M276" t="s">
        <v>19</v>
      </c>
      <c r="N276" t="str">
        <f>IF(SalesTbl[[#This Row],[Profit]]&gt;180,"High Profit","Low Profit")</f>
        <v>High Profit</v>
      </c>
      <c r="O276" t="str">
        <f>TEXT(SalesTbl[[#This Row],[Date]],"mmm")</f>
        <v>Feb</v>
      </c>
    </row>
    <row r="277" spans="1:15" x14ac:dyDescent="0.3">
      <c r="A277">
        <v>1276</v>
      </c>
      <c r="B277" t="s">
        <v>135</v>
      </c>
      <c r="C277" t="s">
        <v>14</v>
      </c>
      <c r="D277" t="s">
        <v>15</v>
      </c>
      <c r="E277" t="s">
        <v>54</v>
      </c>
      <c r="F277" t="s">
        <v>17</v>
      </c>
      <c r="G277">
        <v>1</v>
      </c>
      <c r="H277">
        <v>752</v>
      </c>
      <c r="I277">
        <v>752</v>
      </c>
      <c r="J277">
        <v>496</v>
      </c>
      <c r="K277">
        <v>256</v>
      </c>
      <c r="L277" t="s">
        <v>24</v>
      </c>
      <c r="M277" t="s">
        <v>19</v>
      </c>
      <c r="N277" t="str">
        <f>IF(SalesTbl[[#This Row],[Profit]]&gt;180,"High Profit","Low Profit")</f>
        <v>High Profit</v>
      </c>
      <c r="O277" t="str">
        <f>TEXT(SalesTbl[[#This Row],[Date]],"mmm")</f>
        <v>May</v>
      </c>
    </row>
    <row r="278" spans="1:15" x14ac:dyDescent="0.3">
      <c r="A278">
        <v>1277</v>
      </c>
      <c r="B278" t="s">
        <v>39</v>
      </c>
      <c r="C278" t="s">
        <v>40</v>
      </c>
      <c r="D278" t="s">
        <v>35</v>
      </c>
      <c r="E278" t="s">
        <v>22</v>
      </c>
      <c r="F278" t="s">
        <v>23</v>
      </c>
      <c r="G278">
        <v>4</v>
      </c>
      <c r="H278">
        <v>282</v>
      </c>
      <c r="I278">
        <v>1128</v>
      </c>
      <c r="J278">
        <v>902</v>
      </c>
      <c r="K278">
        <v>226</v>
      </c>
      <c r="L278" t="s">
        <v>24</v>
      </c>
      <c r="M278" t="s">
        <v>29</v>
      </c>
      <c r="N278" t="str">
        <f>IF(SalesTbl[[#This Row],[Profit]]&gt;180,"High Profit","Low Profit")</f>
        <v>High Profit</v>
      </c>
      <c r="O278" t="str">
        <f>TEXT(SalesTbl[[#This Row],[Date]],"mmm")</f>
        <v>Mar</v>
      </c>
    </row>
    <row r="279" spans="1:15" x14ac:dyDescent="0.3">
      <c r="A279">
        <v>1278</v>
      </c>
      <c r="B279" t="s">
        <v>80</v>
      </c>
      <c r="C279" t="s">
        <v>40</v>
      </c>
      <c r="D279" t="s">
        <v>15</v>
      </c>
      <c r="E279" t="s">
        <v>22</v>
      </c>
      <c r="F279" t="s">
        <v>23</v>
      </c>
      <c r="G279">
        <v>1</v>
      </c>
      <c r="H279">
        <v>194</v>
      </c>
      <c r="I279">
        <v>194</v>
      </c>
      <c r="J279">
        <v>143</v>
      </c>
      <c r="K279">
        <v>51</v>
      </c>
      <c r="L279" t="s">
        <v>38</v>
      </c>
      <c r="M279" t="s">
        <v>19</v>
      </c>
      <c r="N279" t="str">
        <f>IF(SalesTbl[[#This Row],[Profit]]&gt;180,"High Profit","Low Profit")</f>
        <v>Low Profit</v>
      </c>
      <c r="O279" t="str">
        <f>TEXT(SalesTbl[[#This Row],[Date]],"mmm")</f>
        <v>Apr</v>
      </c>
    </row>
    <row r="280" spans="1:15" x14ac:dyDescent="0.3">
      <c r="A280">
        <v>1426</v>
      </c>
      <c r="B280" t="s">
        <v>141</v>
      </c>
      <c r="C280" t="s">
        <v>40</v>
      </c>
      <c r="D280" t="s">
        <v>32</v>
      </c>
      <c r="E280" t="s">
        <v>41</v>
      </c>
      <c r="F280" t="s">
        <v>17</v>
      </c>
      <c r="G280">
        <v>6</v>
      </c>
      <c r="H280">
        <v>637</v>
      </c>
      <c r="I280">
        <v>3822</v>
      </c>
      <c r="J280">
        <v>2790</v>
      </c>
      <c r="K280">
        <v>1032</v>
      </c>
      <c r="L280" t="s">
        <v>28</v>
      </c>
      <c r="M280" t="s">
        <v>19</v>
      </c>
      <c r="N280" t="str">
        <f>IF(SalesTbl[[#This Row],[Profit]]&gt;180,"High Profit","Low Profit")</f>
        <v>High Profit</v>
      </c>
      <c r="O280" t="str">
        <f>TEXT(SalesTbl[[#This Row],[Date]],"mmm")</f>
        <v>Jan</v>
      </c>
    </row>
    <row r="281" spans="1:15" x14ac:dyDescent="0.3">
      <c r="A281">
        <v>1379</v>
      </c>
      <c r="B281" t="s">
        <v>58</v>
      </c>
      <c r="C281" t="s">
        <v>40</v>
      </c>
      <c r="D281" t="s">
        <v>32</v>
      </c>
      <c r="E281" t="s">
        <v>54</v>
      </c>
      <c r="F281" t="s">
        <v>17</v>
      </c>
      <c r="G281">
        <v>5</v>
      </c>
      <c r="H281">
        <v>718</v>
      </c>
      <c r="I281">
        <v>3590</v>
      </c>
      <c r="J281">
        <v>2584</v>
      </c>
      <c r="K281">
        <v>1006</v>
      </c>
      <c r="L281" t="s">
        <v>24</v>
      </c>
      <c r="M281" t="s">
        <v>29</v>
      </c>
      <c r="N281" t="str">
        <f>IF(SalesTbl[[#This Row],[Profit]]&gt;180,"High Profit","Low Profit")</f>
        <v>High Profit</v>
      </c>
      <c r="O281" t="str">
        <f>TEXT(SalesTbl[[#This Row],[Date]],"mmm")</f>
        <v>Feb</v>
      </c>
    </row>
    <row r="282" spans="1:15" x14ac:dyDescent="0.3">
      <c r="A282">
        <v>1281</v>
      </c>
      <c r="B282" t="s">
        <v>181</v>
      </c>
      <c r="C282" t="s">
        <v>40</v>
      </c>
      <c r="D282" t="s">
        <v>35</v>
      </c>
      <c r="E282" t="s">
        <v>22</v>
      </c>
      <c r="F282" t="s">
        <v>23</v>
      </c>
      <c r="G282">
        <v>10</v>
      </c>
      <c r="H282">
        <v>395</v>
      </c>
      <c r="I282">
        <v>3950</v>
      </c>
      <c r="J282">
        <v>2528</v>
      </c>
      <c r="K282">
        <v>1422</v>
      </c>
      <c r="L282" t="s">
        <v>33</v>
      </c>
      <c r="M282" t="s">
        <v>29</v>
      </c>
      <c r="N282" t="str">
        <f>IF(SalesTbl[[#This Row],[Profit]]&gt;180,"High Profit","Low Profit")</f>
        <v>High Profit</v>
      </c>
      <c r="O282" t="str">
        <f>TEXT(SalesTbl[[#This Row],[Date]],"mmm")</f>
        <v>Jan</v>
      </c>
    </row>
    <row r="283" spans="1:15" x14ac:dyDescent="0.3">
      <c r="A283">
        <v>1282</v>
      </c>
      <c r="B283" t="s">
        <v>182</v>
      </c>
      <c r="C283" t="s">
        <v>31</v>
      </c>
      <c r="D283" t="s">
        <v>15</v>
      </c>
      <c r="E283" t="s">
        <v>41</v>
      </c>
      <c r="F283" t="s">
        <v>17</v>
      </c>
      <c r="G283">
        <v>2</v>
      </c>
      <c r="H283">
        <v>256</v>
      </c>
      <c r="I283">
        <v>512</v>
      </c>
      <c r="J283">
        <v>368</v>
      </c>
      <c r="K283">
        <v>144</v>
      </c>
      <c r="L283" t="s">
        <v>24</v>
      </c>
      <c r="M283" t="s">
        <v>19</v>
      </c>
      <c r="N283" t="str">
        <f>IF(SalesTbl[[#This Row],[Profit]]&gt;180,"High Profit","Low Profit")</f>
        <v>Low Profit</v>
      </c>
      <c r="O283" t="str">
        <f>TEXT(SalesTbl[[#This Row],[Date]],"mmm")</f>
        <v>Mar</v>
      </c>
    </row>
    <row r="284" spans="1:15" x14ac:dyDescent="0.3">
      <c r="A284">
        <v>1283</v>
      </c>
      <c r="B284" t="s">
        <v>167</v>
      </c>
      <c r="C284" t="s">
        <v>21</v>
      </c>
      <c r="D284" t="s">
        <v>26</v>
      </c>
      <c r="E284" t="s">
        <v>48</v>
      </c>
      <c r="F284" t="s">
        <v>23</v>
      </c>
      <c r="G284">
        <v>10</v>
      </c>
      <c r="H284">
        <v>916</v>
      </c>
      <c r="I284">
        <v>9160</v>
      </c>
      <c r="J284">
        <v>5862</v>
      </c>
      <c r="K284">
        <v>3298</v>
      </c>
      <c r="L284" t="s">
        <v>33</v>
      </c>
      <c r="M284" t="s">
        <v>19</v>
      </c>
      <c r="N284" t="str">
        <f>IF(SalesTbl[[#This Row],[Profit]]&gt;180,"High Profit","Low Profit")</f>
        <v>High Profit</v>
      </c>
      <c r="O284" t="str">
        <f>TEXT(SalesTbl[[#This Row],[Date]],"mmm")</f>
        <v>Jan</v>
      </c>
    </row>
    <row r="285" spans="1:15" x14ac:dyDescent="0.3">
      <c r="A285">
        <v>1284</v>
      </c>
      <c r="B285" t="s">
        <v>135</v>
      </c>
      <c r="C285" t="s">
        <v>14</v>
      </c>
      <c r="D285" t="s">
        <v>32</v>
      </c>
      <c r="E285" t="s">
        <v>54</v>
      </c>
      <c r="F285" t="s">
        <v>17</v>
      </c>
      <c r="G285">
        <v>7</v>
      </c>
      <c r="H285">
        <v>333</v>
      </c>
      <c r="I285">
        <v>2331</v>
      </c>
      <c r="J285">
        <v>1771</v>
      </c>
      <c r="K285">
        <v>560</v>
      </c>
      <c r="L285" t="s">
        <v>28</v>
      </c>
      <c r="M285" t="s">
        <v>19</v>
      </c>
      <c r="N285" t="str">
        <f>IF(SalesTbl[[#This Row],[Profit]]&gt;180,"High Profit","Low Profit")</f>
        <v>High Profit</v>
      </c>
      <c r="O285" t="str">
        <f>TEXT(SalesTbl[[#This Row],[Date]],"mmm")</f>
        <v>May</v>
      </c>
    </row>
    <row r="286" spans="1:15" x14ac:dyDescent="0.3">
      <c r="A286">
        <v>1285</v>
      </c>
      <c r="B286" t="s">
        <v>177</v>
      </c>
      <c r="C286" t="s">
        <v>31</v>
      </c>
      <c r="D286" t="s">
        <v>35</v>
      </c>
      <c r="E286" t="s">
        <v>41</v>
      </c>
      <c r="F286" t="s">
        <v>17</v>
      </c>
      <c r="G286">
        <v>6</v>
      </c>
      <c r="H286">
        <v>236</v>
      </c>
      <c r="I286">
        <v>1416</v>
      </c>
      <c r="J286">
        <v>1033</v>
      </c>
      <c r="K286">
        <v>383</v>
      </c>
      <c r="L286" t="s">
        <v>33</v>
      </c>
      <c r="M286" t="s">
        <v>29</v>
      </c>
      <c r="N286" t="str">
        <f>IF(SalesTbl[[#This Row],[Profit]]&gt;180,"High Profit","Low Profit")</f>
        <v>High Profit</v>
      </c>
      <c r="O286" t="str">
        <f>TEXT(SalesTbl[[#This Row],[Date]],"mmm")</f>
        <v>Feb</v>
      </c>
    </row>
    <row r="287" spans="1:15" x14ac:dyDescent="0.3">
      <c r="A287">
        <v>1286</v>
      </c>
      <c r="B287" t="s">
        <v>90</v>
      </c>
      <c r="C287" t="s">
        <v>40</v>
      </c>
      <c r="D287" t="s">
        <v>15</v>
      </c>
      <c r="E287" t="s">
        <v>48</v>
      </c>
      <c r="F287" t="s">
        <v>23</v>
      </c>
      <c r="G287">
        <v>1</v>
      </c>
      <c r="H287">
        <v>882</v>
      </c>
      <c r="I287">
        <v>882</v>
      </c>
      <c r="J287">
        <v>661</v>
      </c>
      <c r="K287">
        <v>221</v>
      </c>
      <c r="L287" t="s">
        <v>33</v>
      </c>
      <c r="M287" t="s">
        <v>19</v>
      </c>
      <c r="N287" t="str">
        <f>IF(SalesTbl[[#This Row],[Profit]]&gt;180,"High Profit","Low Profit")</f>
        <v>High Profit</v>
      </c>
      <c r="O287" t="str">
        <f>TEXT(SalesTbl[[#This Row],[Date]],"mmm")</f>
        <v>Jan</v>
      </c>
    </row>
    <row r="288" spans="1:15" x14ac:dyDescent="0.3">
      <c r="A288">
        <v>1287</v>
      </c>
      <c r="B288" t="s">
        <v>120</v>
      </c>
      <c r="C288" t="s">
        <v>31</v>
      </c>
      <c r="D288" t="s">
        <v>15</v>
      </c>
      <c r="E288" t="s">
        <v>41</v>
      </c>
      <c r="F288" t="s">
        <v>17</v>
      </c>
      <c r="G288">
        <v>2</v>
      </c>
      <c r="H288">
        <v>441</v>
      </c>
      <c r="I288">
        <v>882</v>
      </c>
      <c r="J288">
        <v>599</v>
      </c>
      <c r="K288">
        <v>283</v>
      </c>
      <c r="L288" t="s">
        <v>28</v>
      </c>
      <c r="M288" t="s">
        <v>29</v>
      </c>
      <c r="N288" t="str">
        <f>IF(SalesTbl[[#This Row],[Profit]]&gt;180,"High Profit","Low Profit")</f>
        <v>High Profit</v>
      </c>
      <c r="O288" t="str">
        <f>TEXT(SalesTbl[[#This Row],[Date]],"mmm")</f>
        <v>Jan</v>
      </c>
    </row>
    <row r="289" spans="1:15" x14ac:dyDescent="0.3">
      <c r="A289">
        <v>1288</v>
      </c>
      <c r="B289" t="s">
        <v>50</v>
      </c>
      <c r="C289" t="s">
        <v>31</v>
      </c>
      <c r="D289" t="s">
        <v>35</v>
      </c>
      <c r="E289" t="s">
        <v>22</v>
      </c>
      <c r="F289" t="s">
        <v>23</v>
      </c>
      <c r="G289">
        <v>6</v>
      </c>
      <c r="H289">
        <v>302</v>
      </c>
      <c r="I289">
        <v>1812</v>
      </c>
      <c r="J289">
        <v>1141</v>
      </c>
      <c r="K289">
        <v>671</v>
      </c>
      <c r="L289" t="s">
        <v>38</v>
      </c>
      <c r="M289" t="s">
        <v>19</v>
      </c>
      <c r="N289" t="str">
        <f>IF(SalesTbl[[#This Row],[Profit]]&gt;180,"High Profit","Low Profit")</f>
        <v>High Profit</v>
      </c>
      <c r="O289" t="str">
        <f>TEXT(SalesTbl[[#This Row],[Date]],"mmm")</f>
        <v>Jun</v>
      </c>
    </row>
    <row r="290" spans="1:15" x14ac:dyDescent="0.3">
      <c r="A290">
        <v>1050</v>
      </c>
      <c r="B290" t="s">
        <v>78</v>
      </c>
      <c r="C290" t="s">
        <v>40</v>
      </c>
      <c r="D290" t="s">
        <v>32</v>
      </c>
      <c r="E290" t="s">
        <v>54</v>
      </c>
      <c r="F290" t="s">
        <v>17</v>
      </c>
      <c r="G290">
        <v>4</v>
      </c>
      <c r="H290">
        <v>900</v>
      </c>
      <c r="I290">
        <v>3600</v>
      </c>
      <c r="J290">
        <v>2628</v>
      </c>
      <c r="K290">
        <v>972</v>
      </c>
      <c r="L290" t="s">
        <v>18</v>
      </c>
      <c r="M290" t="s">
        <v>19</v>
      </c>
      <c r="N290" t="str">
        <f>IF(SalesTbl[[#This Row],[Profit]]&gt;180,"High Profit","Low Profit")</f>
        <v>High Profit</v>
      </c>
      <c r="O290" t="str">
        <f>TEXT(SalesTbl[[#This Row],[Date]],"mmm")</f>
        <v>Jun</v>
      </c>
    </row>
    <row r="291" spans="1:15" x14ac:dyDescent="0.3">
      <c r="A291">
        <v>1290</v>
      </c>
      <c r="B291" t="s">
        <v>158</v>
      </c>
      <c r="C291" t="s">
        <v>31</v>
      </c>
      <c r="D291" t="s">
        <v>35</v>
      </c>
      <c r="E291" t="s">
        <v>22</v>
      </c>
      <c r="F291" t="s">
        <v>23</v>
      </c>
      <c r="G291">
        <v>1</v>
      </c>
      <c r="H291">
        <v>632</v>
      </c>
      <c r="I291">
        <v>632</v>
      </c>
      <c r="J291">
        <v>423</v>
      </c>
      <c r="K291">
        <v>209</v>
      </c>
      <c r="L291" t="s">
        <v>33</v>
      </c>
      <c r="M291" t="s">
        <v>19</v>
      </c>
      <c r="N291" t="str">
        <f>IF(SalesTbl[[#This Row],[Profit]]&gt;180,"High Profit","Low Profit")</f>
        <v>High Profit</v>
      </c>
      <c r="O291" t="str">
        <f>TEXT(SalesTbl[[#This Row],[Date]],"mmm")</f>
        <v>Feb</v>
      </c>
    </row>
    <row r="292" spans="1:15" x14ac:dyDescent="0.3">
      <c r="A292">
        <v>1252</v>
      </c>
      <c r="B292" t="s">
        <v>44</v>
      </c>
      <c r="C292" t="s">
        <v>40</v>
      </c>
      <c r="D292" t="s">
        <v>35</v>
      </c>
      <c r="E292" t="s">
        <v>54</v>
      </c>
      <c r="F292" t="s">
        <v>17</v>
      </c>
      <c r="G292">
        <v>10</v>
      </c>
      <c r="H292">
        <v>449</v>
      </c>
      <c r="I292">
        <v>4490</v>
      </c>
      <c r="J292">
        <v>3547</v>
      </c>
      <c r="K292">
        <v>943</v>
      </c>
      <c r="L292" t="s">
        <v>18</v>
      </c>
      <c r="M292" t="s">
        <v>29</v>
      </c>
      <c r="N292" t="str">
        <f>IF(SalesTbl[[#This Row],[Profit]]&gt;180,"High Profit","Low Profit")</f>
        <v>High Profit</v>
      </c>
      <c r="O292" t="str">
        <f>TEXT(SalesTbl[[#This Row],[Date]],"mmm")</f>
        <v>Jan</v>
      </c>
    </row>
    <row r="293" spans="1:15" x14ac:dyDescent="0.3">
      <c r="A293">
        <v>1617</v>
      </c>
      <c r="B293" t="s">
        <v>190</v>
      </c>
      <c r="C293" t="s">
        <v>40</v>
      </c>
      <c r="D293" t="s">
        <v>15</v>
      </c>
      <c r="E293" t="s">
        <v>41</v>
      </c>
      <c r="F293" t="s">
        <v>17</v>
      </c>
      <c r="G293">
        <v>4</v>
      </c>
      <c r="H293">
        <v>940</v>
      </c>
      <c r="I293">
        <v>3760</v>
      </c>
      <c r="J293">
        <v>2820</v>
      </c>
      <c r="K293">
        <v>940</v>
      </c>
      <c r="L293" t="s">
        <v>33</v>
      </c>
      <c r="M293" t="s">
        <v>19</v>
      </c>
      <c r="N293" t="str">
        <f>IF(SalesTbl[[#This Row],[Profit]]&gt;180,"High Profit","Low Profit")</f>
        <v>High Profit</v>
      </c>
      <c r="O293" t="str">
        <f>TEXT(SalesTbl[[#This Row],[Date]],"mmm")</f>
        <v>Jun</v>
      </c>
    </row>
    <row r="294" spans="1:15" x14ac:dyDescent="0.3">
      <c r="A294">
        <v>1293</v>
      </c>
      <c r="B294" t="s">
        <v>78</v>
      </c>
      <c r="C294" t="s">
        <v>21</v>
      </c>
      <c r="D294" t="s">
        <v>26</v>
      </c>
      <c r="E294" t="s">
        <v>16</v>
      </c>
      <c r="F294" t="s">
        <v>17</v>
      </c>
      <c r="G294">
        <v>5</v>
      </c>
      <c r="H294">
        <v>577</v>
      </c>
      <c r="I294">
        <v>2885</v>
      </c>
      <c r="J294">
        <v>2308</v>
      </c>
      <c r="K294">
        <v>577</v>
      </c>
      <c r="L294" t="s">
        <v>24</v>
      </c>
      <c r="M294" t="s">
        <v>29</v>
      </c>
      <c r="N294" t="str">
        <f>IF(SalesTbl[[#This Row],[Profit]]&gt;180,"High Profit","Low Profit")</f>
        <v>High Profit</v>
      </c>
      <c r="O294" t="str">
        <f>TEXT(SalesTbl[[#This Row],[Date]],"mmm")</f>
        <v>Jun</v>
      </c>
    </row>
    <row r="295" spans="1:15" x14ac:dyDescent="0.3">
      <c r="A295">
        <v>1294</v>
      </c>
      <c r="B295" t="s">
        <v>126</v>
      </c>
      <c r="C295" t="s">
        <v>31</v>
      </c>
      <c r="D295" t="s">
        <v>26</v>
      </c>
      <c r="E295" t="s">
        <v>41</v>
      </c>
      <c r="F295" t="s">
        <v>17</v>
      </c>
      <c r="G295">
        <v>7</v>
      </c>
      <c r="H295">
        <v>926</v>
      </c>
      <c r="I295">
        <v>6482</v>
      </c>
      <c r="J295">
        <v>4731</v>
      </c>
      <c r="K295">
        <v>1751</v>
      </c>
      <c r="L295" t="s">
        <v>38</v>
      </c>
      <c r="M295" t="s">
        <v>29</v>
      </c>
      <c r="N295" t="str">
        <f>IF(SalesTbl[[#This Row],[Profit]]&gt;180,"High Profit","Low Profit")</f>
        <v>High Profit</v>
      </c>
      <c r="O295" t="str">
        <f>TEXT(SalesTbl[[#This Row],[Date]],"mmm")</f>
        <v>May</v>
      </c>
    </row>
    <row r="296" spans="1:15" x14ac:dyDescent="0.3">
      <c r="A296">
        <v>1295</v>
      </c>
      <c r="B296" t="s">
        <v>184</v>
      </c>
      <c r="C296" t="s">
        <v>31</v>
      </c>
      <c r="D296" t="s">
        <v>32</v>
      </c>
      <c r="E296" t="s">
        <v>27</v>
      </c>
      <c r="F296" t="s">
        <v>17</v>
      </c>
      <c r="G296">
        <v>2</v>
      </c>
      <c r="H296">
        <v>256</v>
      </c>
      <c r="I296">
        <v>512</v>
      </c>
      <c r="J296">
        <v>307</v>
      </c>
      <c r="K296">
        <v>205</v>
      </c>
      <c r="L296" t="s">
        <v>33</v>
      </c>
      <c r="M296" t="s">
        <v>19</v>
      </c>
      <c r="N296" t="str">
        <f>IF(SalesTbl[[#This Row],[Profit]]&gt;180,"High Profit","Low Profit")</f>
        <v>High Profit</v>
      </c>
      <c r="O296" t="str">
        <f>TEXT(SalesTbl[[#This Row],[Date]],"mmm")</f>
        <v>Apr</v>
      </c>
    </row>
    <row r="297" spans="1:15" x14ac:dyDescent="0.3">
      <c r="A297">
        <v>1296</v>
      </c>
      <c r="B297" t="s">
        <v>67</v>
      </c>
      <c r="C297" t="s">
        <v>40</v>
      </c>
      <c r="D297" t="s">
        <v>26</v>
      </c>
      <c r="E297" t="s">
        <v>22</v>
      </c>
      <c r="F297" t="s">
        <v>23</v>
      </c>
      <c r="G297">
        <v>2</v>
      </c>
      <c r="H297">
        <v>886</v>
      </c>
      <c r="I297">
        <v>1772</v>
      </c>
      <c r="J297">
        <v>1417</v>
      </c>
      <c r="K297">
        <v>355</v>
      </c>
      <c r="L297" t="s">
        <v>24</v>
      </c>
      <c r="M297" t="s">
        <v>19</v>
      </c>
      <c r="N297" t="str">
        <f>IF(SalesTbl[[#This Row],[Profit]]&gt;180,"High Profit","Low Profit")</f>
        <v>High Profit</v>
      </c>
      <c r="O297" t="str">
        <f>TEXT(SalesTbl[[#This Row],[Date]],"mmm")</f>
        <v>Mar</v>
      </c>
    </row>
    <row r="298" spans="1:15" x14ac:dyDescent="0.3">
      <c r="A298">
        <v>1297</v>
      </c>
      <c r="B298" t="s">
        <v>129</v>
      </c>
      <c r="C298" t="s">
        <v>31</v>
      </c>
      <c r="D298" t="s">
        <v>32</v>
      </c>
      <c r="E298" t="s">
        <v>48</v>
      </c>
      <c r="F298" t="s">
        <v>23</v>
      </c>
      <c r="G298">
        <v>7</v>
      </c>
      <c r="H298">
        <v>343</v>
      </c>
      <c r="I298">
        <v>2401</v>
      </c>
      <c r="J298">
        <v>1608</v>
      </c>
      <c r="K298">
        <v>793</v>
      </c>
      <c r="L298" t="s">
        <v>18</v>
      </c>
      <c r="M298" t="s">
        <v>29</v>
      </c>
      <c r="N298" t="str">
        <f>IF(SalesTbl[[#This Row],[Profit]]&gt;180,"High Profit","Low Profit")</f>
        <v>High Profit</v>
      </c>
      <c r="O298" t="str">
        <f>TEXT(SalesTbl[[#This Row],[Date]],"mmm")</f>
        <v>Mar</v>
      </c>
    </row>
    <row r="299" spans="1:15" x14ac:dyDescent="0.3">
      <c r="A299">
        <v>1637</v>
      </c>
      <c r="B299" t="s">
        <v>97</v>
      </c>
      <c r="C299" t="s">
        <v>40</v>
      </c>
      <c r="D299" t="s">
        <v>15</v>
      </c>
      <c r="E299" t="s">
        <v>27</v>
      </c>
      <c r="F299" t="s">
        <v>17</v>
      </c>
      <c r="G299">
        <v>5</v>
      </c>
      <c r="H299">
        <v>780</v>
      </c>
      <c r="I299">
        <v>3900</v>
      </c>
      <c r="J299">
        <v>2964</v>
      </c>
      <c r="K299">
        <v>936</v>
      </c>
      <c r="L299" t="s">
        <v>33</v>
      </c>
      <c r="M299" t="s">
        <v>29</v>
      </c>
      <c r="N299" t="str">
        <f>IF(SalesTbl[[#This Row],[Profit]]&gt;180,"High Profit","Low Profit")</f>
        <v>High Profit</v>
      </c>
      <c r="O299" t="str">
        <f>TEXT(SalesTbl[[#This Row],[Date]],"mmm")</f>
        <v>Apr</v>
      </c>
    </row>
    <row r="300" spans="1:15" x14ac:dyDescent="0.3">
      <c r="A300">
        <v>1299</v>
      </c>
      <c r="B300" t="s">
        <v>84</v>
      </c>
      <c r="C300" t="s">
        <v>14</v>
      </c>
      <c r="D300" t="s">
        <v>26</v>
      </c>
      <c r="E300" t="s">
        <v>48</v>
      </c>
      <c r="F300" t="s">
        <v>23</v>
      </c>
      <c r="G300">
        <v>8</v>
      </c>
      <c r="H300">
        <v>804</v>
      </c>
      <c r="I300">
        <v>6432</v>
      </c>
      <c r="J300">
        <v>4180</v>
      </c>
      <c r="K300">
        <v>2252</v>
      </c>
      <c r="L300" t="s">
        <v>24</v>
      </c>
      <c r="M300" t="s">
        <v>19</v>
      </c>
      <c r="N300" t="str">
        <f>IF(SalesTbl[[#This Row],[Profit]]&gt;180,"High Profit","Low Profit")</f>
        <v>High Profit</v>
      </c>
      <c r="O300" t="str">
        <f>TEXT(SalesTbl[[#This Row],[Date]],"mmm")</f>
        <v>Apr</v>
      </c>
    </row>
    <row r="301" spans="1:15" x14ac:dyDescent="0.3">
      <c r="A301">
        <v>1300</v>
      </c>
      <c r="B301" t="s">
        <v>104</v>
      </c>
      <c r="C301" t="s">
        <v>14</v>
      </c>
      <c r="D301" t="s">
        <v>15</v>
      </c>
      <c r="E301" t="s">
        <v>27</v>
      </c>
      <c r="F301" t="s">
        <v>17</v>
      </c>
      <c r="G301">
        <v>2</v>
      </c>
      <c r="H301">
        <v>621</v>
      </c>
      <c r="I301">
        <v>1242</v>
      </c>
      <c r="J301">
        <v>956</v>
      </c>
      <c r="K301">
        <v>286</v>
      </c>
      <c r="L301" t="s">
        <v>33</v>
      </c>
      <c r="M301" t="s">
        <v>29</v>
      </c>
      <c r="N301" t="str">
        <f>IF(SalesTbl[[#This Row],[Profit]]&gt;180,"High Profit","Low Profit")</f>
        <v>High Profit</v>
      </c>
      <c r="O301" t="str">
        <f>TEXT(SalesTbl[[#This Row],[Date]],"mmm")</f>
        <v>Jan</v>
      </c>
    </row>
    <row r="302" spans="1:15" x14ac:dyDescent="0.3">
      <c r="A302">
        <v>1301</v>
      </c>
      <c r="B302" t="s">
        <v>157</v>
      </c>
      <c r="C302" t="s">
        <v>14</v>
      </c>
      <c r="D302" t="s">
        <v>35</v>
      </c>
      <c r="E302" t="s">
        <v>27</v>
      </c>
      <c r="F302" t="s">
        <v>17</v>
      </c>
      <c r="G302">
        <v>9</v>
      </c>
      <c r="H302">
        <v>488</v>
      </c>
      <c r="I302">
        <v>4392</v>
      </c>
      <c r="J302">
        <v>2679</v>
      </c>
      <c r="K302">
        <v>1713</v>
      </c>
      <c r="L302" t="s">
        <v>33</v>
      </c>
      <c r="M302" t="s">
        <v>19</v>
      </c>
      <c r="N302" t="str">
        <f>IF(SalesTbl[[#This Row],[Profit]]&gt;180,"High Profit","Low Profit")</f>
        <v>High Profit</v>
      </c>
      <c r="O302" t="str">
        <f>TEXT(SalesTbl[[#This Row],[Date]],"mmm")</f>
        <v>Feb</v>
      </c>
    </row>
    <row r="303" spans="1:15" x14ac:dyDescent="0.3">
      <c r="A303">
        <v>1302</v>
      </c>
      <c r="B303" t="s">
        <v>158</v>
      </c>
      <c r="C303" t="s">
        <v>21</v>
      </c>
      <c r="D303" t="s">
        <v>32</v>
      </c>
      <c r="E303" t="s">
        <v>22</v>
      </c>
      <c r="F303" t="s">
        <v>23</v>
      </c>
      <c r="G303">
        <v>2</v>
      </c>
      <c r="H303">
        <v>114</v>
      </c>
      <c r="I303">
        <v>228</v>
      </c>
      <c r="J303">
        <v>161</v>
      </c>
      <c r="K303">
        <v>67</v>
      </c>
      <c r="L303" t="s">
        <v>33</v>
      </c>
      <c r="M303" t="s">
        <v>19</v>
      </c>
      <c r="N303" t="str">
        <f>IF(SalesTbl[[#This Row],[Profit]]&gt;180,"High Profit","Low Profit")</f>
        <v>Low Profit</v>
      </c>
      <c r="O303" t="str">
        <f>TEXT(SalesTbl[[#This Row],[Date]],"mmm")</f>
        <v>Feb</v>
      </c>
    </row>
    <row r="304" spans="1:15" x14ac:dyDescent="0.3">
      <c r="A304">
        <v>1303</v>
      </c>
      <c r="B304" t="s">
        <v>87</v>
      </c>
      <c r="C304" t="s">
        <v>21</v>
      </c>
      <c r="D304" t="s">
        <v>32</v>
      </c>
      <c r="E304" t="s">
        <v>41</v>
      </c>
      <c r="F304" t="s">
        <v>17</v>
      </c>
      <c r="G304">
        <v>8</v>
      </c>
      <c r="H304">
        <v>672</v>
      </c>
      <c r="I304">
        <v>5376</v>
      </c>
      <c r="J304">
        <v>3655</v>
      </c>
      <c r="K304">
        <v>1721</v>
      </c>
      <c r="L304" t="s">
        <v>18</v>
      </c>
      <c r="M304" t="s">
        <v>19</v>
      </c>
      <c r="N304" t="str">
        <f>IF(SalesTbl[[#This Row],[Profit]]&gt;180,"High Profit","Low Profit")</f>
        <v>High Profit</v>
      </c>
      <c r="O304" t="str">
        <f>TEXT(SalesTbl[[#This Row],[Date]],"mmm")</f>
        <v>Feb</v>
      </c>
    </row>
    <row r="305" spans="1:15" x14ac:dyDescent="0.3">
      <c r="A305">
        <v>1304</v>
      </c>
      <c r="B305" t="s">
        <v>49</v>
      </c>
      <c r="C305" t="s">
        <v>31</v>
      </c>
      <c r="D305" t="s">
        <v>26</v>
      </c>
      <c r="E305" t="s">
        <v>27</v>
      </c>
      <c r="F305" t="s">
        <v>17</v>
      </c>
      <c r="G305">
        <v>10</v>
      </c>
      <c r="H305">
        <v>502</v>
      </c>
      <c r="I305">
        <v>5020</v>
      </c>
      <c r="J305">
        <v>3664</v>
      </c>
      <c r="K305">
        <v>1356</v>
      </c>
      <c r="L305" t="s">
        <v>24</v>
      </c>
      <c r="M305" t="s">
        <v>29</v>
      </c>
      <c r="N305" t="str">
        <f>IF(SalesTbl[[#This Row],[Profit]]&gt;180,"High Profit","Low Profit")</f>
        <v>High Profit</v>
      </c>
      <c r="O305" t="str">
        <f>TEXT(SalesTbl[[#This Row],[Date]],"mmm")</f>
        <v>Jan</v>
      </c>
    </row>
    <row r="306" spans="1:15" x14ac:dyDescent="0.3">
      <c r="A306">
        <v>1305</v>
      </c>
      <c r="B306" t="s">
        <v>113</v>
      </c>
      <c r="C306" t="s">
        <v>31</v>
      </c>
      <c r="D306" t="s">
        <v>32</v>
      </c>
      <c r="E306" t="s">
        <v>16</v>
      </c>
      <c r="F306" t="s">
        <v>17</v>
      </c>
      <c r="G306">
        <v>8</v>
      </c>
      <c r="H306">
        <v>743</v>
      </c>
      <c r="I306">
        <v>5944</v>
      </c>
      <c r="J306">
        <v>4636</v>
      </c>
      <c r="K306">
        <v>1308</v>
      </c>
      <c r="L306" t="s">
        <v>24</v>
      </c>
      <c r="M306" t="s">
        <v>29</v>
      </c>
      <c r="N306" t="str">
        <f>IF(SalesTbl[[#This Row],[Profit]]&gt;180,"High Profit","Low Profit")</f>
        <v>High Profit</v>
      </c>
      <c r="O306" t="str">
        <f>TEXT(SalesTbl[[#This Row],[Date]],"mmm")</f>
        <v>May</v>
      </c>
    </row>
    <row r="307" spans="1:15" x14ac:dyDescent="0.3">
      <c r="A307">
        <v>1306</v>
      </c>
      <c r="B307" t="s">
        <v>42</v>
      </c>
      <c r="C307" t="s">
        <v>31</v>
      </c>
      <c r="D307" t="s">
        <v>15</v>
      </c>
      <c r="E307" t="s">
        <v>16</v>
      </c>
      <c r="F307" t="s">
        <v>17</v>
      </c>
      <c r="G307">
        <v>2</v>
      </c>
      <c r="H307">
        <v>284</v>
      </c>
      <c r="I307">
        <v>568</v>
      </c>
      <c r="J307">
        <v>403</v>
      </c>
      <c r="K307">
        <v>165</v>
      </c>
      <c r="L307" t="s">
        <v>38</v>
      </c>
      <c r="M307" t="s">
        <v>19</v>
      </c>
      <c r="N307" t="str">
        <f>IF(SalesTbl[[#This Row],[Profit]]&gt;180,"High Profit","Low Profit")</f>
        <v>Low Profit</v>
      </c>
      <c r="O307" t="str">
        <f>TEXT(SalesTbl[[#This Row],[Date]],"mmm")</f>
        <v>Apr</v>
      </c>
    </row>
    <row r="308" spans="1:15" x14ac:dyDescent="0.3">
      <c r="A308">
        <v>1307</v>
      </c>
      <c r="B308" t="s">
        <v>81</v>
      </c>
      <c r="C308" t="s">
        <v>31</v>
      </c>
      <c r="D308" t="s">
        <v>15</v>
      </c>
      <c r="E308" t="s">
        <v>41</v>
      </c>
      <c r="F308" t="s">
        <v>17</v>
      </c>
      <c r="G308">
        <v>10</v>
      </c>
      <c r="H308">
        <v>924</v>
      </c>
      <c r="I308">
        <v>9240</v>
      </c>
      <c r="J308">
        <v>7207</v>
      </c>
      <c r="K308">
        <v>2033</v>
      </c>
      <c r="L308" t="s">
        <v>33</v>
      </c>
      <c r="M308" t="s">
        <v>19</v>
      </c>
      <c r="N308" t="str">
        <f>IF(SalesTbl[[#This Row],[Profit]]&gt;180,"High Profit","Low Profit")</f>
        <v>High Profit</v>
      </c>
      <c r="O308" t="str">
        <f>TEXT(SalesTbl[[#This Row],[Date]],"mmm")</f>
        <v>Apr</v>
      </c>
    </row>
    <row r="309" spans="1:15" x14ac:dyDescent="0.3">
      <c r="A309">
        <v>1106</v>
      </c>
      <c r="B309" t="s">
        <v>118</v>
      </c>
      <c r="C309" t="s">
        <v>40</v>
      </c>
      <c r="D309" t="s">
        <v>35</v>
      </c>
      <c r="E309" t="s">
        <v>41</v>
      </c>
      <c r="F309" t="s">
        <v>17</v>
      </c>
      <c r="G309">
        <v>9</v>
      </c>
      <c r="H309">
        <v>305</v>
      </c>
      <c r="I309">
        <v>2745</v>
      </c>
      <c r="J309">
        <v>1811</v>
      </c>
      <c r="K309">
        <v>934</v>
      </c>
      <c r="L309" t="s">
        <v>24</v>
      </c>
      <c r="M309" t="s">
        <v>19</v>
      </c>
      <c r="N309" t="str">
        <f>IF(SalesTbl[[#This Row],[Profit]]&gt;180,"High Profit","Low Profit")</f>
        <v>High Profit</v>
      </c>
      <c r="O309" t="str">
        <f>TEXT(SalesTbl[[#This Row],[Date]],"mmm")</f>
        <v>Jun</v>
      </c>
    </row>
    <row r="310" spans="1:15" x14ac:dyDescent="0.3">
      <c r="A310">
        <v>1309</v>
      </c>
      <c r="B310" t="s">
        <v>186</v>
      </c>
      <c r="C310" t="s">
        <v>31</v>
      </c>
      <c r="D310" t="s">
        <v>26</v>
      </c>
      <c r="E310" t="s">
        <v>54</v>
      </c>
      <c r="F310" t="s">
        <v>17</v>
      </c>
      <c r="G310">
        <v>5</v>
      </c>
      <c r="H310">
        <v>133</v>
      </c>
      <c r="I310">
        <v>665</v>
      </c>
      <c r="J310">
        <v>405</v>
      </c>
      <c r="K310">
        <v>260</v>
      </c>
      <c r="L310" t="s">
        <v>33</v>
      </c>
      <c r="M310" t="s">
        <v>29</v>
      </c>
      <c r="N310" t="str">
        <f>IF(SalesTbl[[#This Row],[Profit]]&gt;180,"High Profit","Low Profit")</f>
        <v>High Profit</v>
      </c>
      <c r="O310" t="str">
        <f>TEXT(SalesTbl[[#This Row],[Date]],"mmm")</f>
        <v>Jun</v>
      </c>
    </row>
    <row r="311" spans="1:15" x14ac:dyDescent="0.3">
      <c r="A311">
        <v>1310</v>
      </c>
      <c r="B311" t="s">
        <v>80</v>
      </c>
      <c r="C311" t="s">
        <v>31</v>
      </c>
      <c r="D311" t="s">
        <v>32</v>
      </c>
      <c r="E311" t="s">
        <v>54</v>
      </c>
      <c r="F311" t="s">
        <v>17</v>
      </c>
      <c r="G311">
        <v>7</v>
      </c>
      <c r="H311">
        <v>969</v>
      </c>
      <c r="I311">
        <v>6783</v>
      </c>
      <c r="J311">
        <v>4069</v>
      </c>
      <c r="K311">
        <v>2714</v>
      </c>
      <c r="L311" t="s">
        <v>18</v>
      </c>
      <c r="M311" t="s">
        <v>29</v>
      </c>
      <c r="N311" t="str">
        <f>IF(SalesTbl[[#This Row],[Profit]]&gt;180,"High Profit","Low Profit")</f>
        <v>High Profit</v>
      </c>
      <c r="O311" t="str">
        <f>TEXT(SalesTbl[[#This Row],[Date]],"mmm")</f>
        <v>Apr</v>
      </c>
    </row>
    <row r="312" spans="1:15" x14ac:dyDescent="0.3">
      <c r="A312">
        <v>1311</v>
      </c>
      <c r="B312" t="s">
        <v>187</v>
      </c>
      <c r="C312" t="s">
        <v>21</v>
      </c>
      <c r="D312" t="s">
        <v>32</v>
      </c>
      <c r="E312" t="s">
        <v>54</v>
      </c>
      <c r="F312" t="s">
        <v>17</v>
      </c>
      <c r="G312">
        <v>10</v>
      </c>
      <c r="H312">
        <v>993</v>
      </c>
      <c r="I312">
        <v>9930</v>
      </c>
      <c r="J312">
        <v>6653</v>
      </c>
      <c r="K312">
        <v>3277</v>
      </c>
      <c r="L312" t="s">
        <v>38</v>
      </c>
      <c r="M312" t="s">
        <v>29</v>
      </c>
      <c r="N312" t="str">
        <f>IF(SalesTbl[[#This Row],[Profit]]&gt;180,"High Profit","Low Profit")</f>
        <v>High Profit</v>
      </c>
      <c r="O312" t="str">
        <f>TEXT(SalesTbl[[#This Row],[Date]],"mmm")</f>
        <v>Jun</v>
      </c>
    </row>
    <row r="313" spans="1:15" x14ac:dyDescent="0.3">
      <c r="A313">
        <v>1312</v>
      </c>
      <c r="B313" t="s">
        <v>74</v>
      </c>
      <c r="C313" t="s">
        <v>40</v>
      </c>
      <c r="D313" t="s">
        <v>15</v>
      </c>
      <c r="E313" t="s">
        <v>22</v>
      </c>
      <c r="F313" t="s">
        <v>23</v>
      </c>
      <c r="G313">
        <v>6</v>
      </c>
      <c r="H313">
        <v>822</v>
      </c>
      <c r="I313">
        <v>4932</v>
      </c>
      <c r="J313">
        <v>3501</v>
      </c>
      <c r="K313">
        <v>1431</v>
      </c>
      <c r="L313" t="s">
        <v>18</v>
      </c>
      <c r="M313" t="s">
        <v>19</v>
      </c>
      <c r="N313" t="str">
        <f>IF(SalesTbl[[#This Row],[Profit]]&gt;180,"High Profit","Low Profit")</f>
        <v>High Profit</v>
      </c>
      <c r="O313" t="str">
        <f>TEXT(SalesTbl[[#This Row],[Date]],"mmm")</f>
        <v>Feb</v>
      </c>
    </row>
    <row r="314" spans="1:15" x14ac:dyDescent="0.3">
      <c r="A314">
        <v>1313</v>
      </c>
      <c r="B314" t="s">
        <v>182</v>
      </c>
      <c r="C314" t="s">
        <v>40</v>
      </c>
      <c r="D314" t="s">
        <v>26</v>
      </c>
      <c r="E314" t="s">
        <v>48</v>
      </c>
      <c r="F314" t="s">
        <v>23</v>
      </c>
      <c r="G314">
        <v>7</v>
      </c>
      <c r="H314">
        <v>885</v>
      </c>
      <c r="I314">
        <v>6195</v>
      </c>
      <c r="J314">
        <v>4894</v>
      </c>
      <c r="K314">
        <v>1301</v>
      </c>
      <c r="L314" t="s">
        <v>28</v>
      </c>
      <c r="M314" t="s">
        <v>19</v>
      </c>
      <c r="N314" t="str">
        <f>IF(SalesTbl[[#This Row],[Profit]]&gt;180,"High Profit","Low Profit")</f>
        <v>High Profit</v>
      </c>
      <c r="O314" t="str">
        <f>TEXT(SalesTbl[[#This Row],[Date]],"mmm")</f>
        <v>Mar</v>
      </c>
    </row>
    <row r="315" spans="1:15" x14ac:dyDescent="0.3">
      <c r="A315">
        <v>1314</v>
      </c>
      <c r="B315" t="s">
        <v>162</v>
      </c>
      <c r="C315" t="s">
        <v>31</v>
      </c>
      <c r="D315" t="s">
        <v>32</v>
      </c>
      <c r="E315" t="s">
        <v>16</v>
      </c>
      <c r="F315" t="s">
        <v>17</v>
      </c>
      <c r="G315">
        <v>6</v>
      </c>
      <c r="H315">
        <v>208</v>
      </c>
      <c r="I315">
        <v>1248</v>
      </c>
      <c r="J315">
        <v>786</v>
      </c>
      <c r="K315">
        <v>462</v>
      </c>
      <c r="L315" t="s">
        <v>18</v>
      </c>
      <c r="M315" t="s">
        <v>29</v>
      </c>
      <c r="N315" t="str">
        <f>IF(SalesTbl[[#This Row],[Profit]]&gt;180,"High Profit","Low Profit")</f>
        <v>High Profit</v>
      </c>
      <c r="O315" t="str">
        <f>TEXT(SalesTbl[[#This Row],[Date]],"mmm")</f>
        <v>Apr</v>
      </c>
    </row>
    <row r="316" spans="1:15" x14ac:dyDescent="0.3">
      <c r="A316">
        <v>1315</v>
      </c>
      <c r="B316" t="s">
        <v>131</v>
      </c>
      <c r="C316" t="s">
        <v>31</v>
      </c>
      <c r="D316" t="s">
        <v>26</v>
      </c>
      <c r="E316" t="s">
        <v>16</v>
      </c>
      <c r="F316" t="s">
        <v>17</v>
      </c>
      <c r="G316">
        <v>5</v>
      </c>
      <c r="H316">
        <v>814</v>
      </c>
      <c r="I316">
        <v>4070</v>
      </c>
      <c r="J316">
        <v>2442</v>
      </c>
      <c r="K316">
        <v>1628</v>
      </c>
      <c r="L316" t="s">
        <v>33</v>
      </c>
      <c r="M316" t="s">
        <v>19</v>
      </c>
      <c r="N316" t="str">
        <f>IF(SalesTbl[[#This Row],[Profit]]&gt;180,"High Profit","Low Profit")</f>
        <v>High Profit</v>
      </c>
      <c r="O316" t="str">
        <f>TEXT(SalesTbl[[#This Row],[Date]],"mmm")</f>
        <v>May</v>
      </c>
    </row>
    <row r="317" spans="1:15" x14ac:dyDescent="0.3">
      <c r="A317">
        <v>1752</v>
      </c>
      <c r="B317" t="s">
        <v>151</v>
      </c>
      <c r="C317" t="s">
        <v>40</v>
      </c>
      <c r="D317" t="s">
        <v>15</v>
      </c>
      <c r="E317" t="s">
        <v>41</v>
      </c>
      <c r="F317" t="s">
        <v>17</v>
      </c>
      <c r="G317">
        <v>10</v>
      </c>
      <c r="H317">
        <v>361</v>
      </c>
      <c r="I317">
        <v>3610</v>
      </c>
      <c r="J317">
        <v>2707</v>
      </c>
      <c r="K317">
        <v>903</v>
      </c>
      <c r="L317" t="s">
        <v>38</v>
      </c>
      <c r="M317" t="s">
        <v>19</v>
      </c>
      <c r="N317" t="str">
        <f>IF(SalesTbl[[#This Row],[Profit]]&gt;180,"High Profit","Low Profit")</f>
        <v>High Profit</v>
      </c>
      <c r="O317" t="str">
        <f>TEXT(SalesTbl[[#This Row],[Date]],"mmm")</f>
        <v>Jan</v>
      </c>
    </row>
    <row r="318" spans="1:15" x14ac:dyDescent="0.3">
      <c r="A318">
        <v>1172</v>
      </c>
      <c r="B318" t="s">
        <v>136</v>
      </c>
      <c r="C318" t="s">
        <v>40</v>
      </c>
      <c r="D318" t="s">
        <v>15</v>
      </c>
      <c r="E318" t="s">
        <v>27</v>
      </c>
      <c r="F318" t="s">
        <v>17</v>
      </c>
      <c r="G318">
        <v>3</v>
      </c>
      <c r="H318">
        <v>984</v>
      </c>
      <c r="I318">
        <v>2952</v>
      </c>
      <c r="J318">
        <v>2066</v>
      </c>
      <c r="K318">
        <v>886</v>
      </c>
      <c r="L318" t="s">
        <v>33</v>
      </c>
      <c r="M318" t="s">
        <v>19</v>
      </c>
      <c r="N318" t="str">
        <f>IF(SalesTbl[[#This Row],[Profit]]&gt;180,"High Profit","Low Profit")</f>
        <v>High Profit</v>
      </c>
      <c r="O318" t="str">
        <f>TEXT(SalesTbl[[#This Row],[Date]],"mmm")</f>
        <v>Feb</v>
      </c>
    </row>
    <row r="319" spans="1:15" x14ac:dyDescent="0.3">
      <c r="A319">
        <v>1318</v>
      </c>
      <c r="B319" t="s">
        <v>187</v>
      </c>
      <c r="C319" t="s">
        <v>21</v>
      </c>
      <c r="D319" t="s">
        <v>32</v>
      </c>
      <c r="E319" t="s">
        <v>41</v>
      </c>
      <c r="F319" t="s">
        <v>17</v>
      </c>
      <c r="G319">
        <v>4</v>
      </c>
      <c r="H319">
        <v>297</v>
      </c>
      <c r="I319">
        <v>1188</v>
      </c>
      <c r="J319">
        <v>867</v>
      </c>
      <c r="K319">
        <v>321</v>
      </c>
      <c r="L319" t="s">
        <v>33</v>
      </c>
      <c r="M319" t="s">
        <v>29</v>
      </c>
      <c r="N319" t="str">
        <f>IF(SalesTbl[[#This Row],[Profit]]&gt;180,"High Profit","Low Profit")</f>
        <v>High Profit</v>
      </c>
      <c r="O319" t="str">
        <f>TEXT(SalesTbl[[#This Row],[Date]],"mmm")</f>
        <v>Jun</v>
      </c>
    </row>
    <row r="320" spans="1:15" x14ac:dyDescent="0.3">
      <c r="A320">
        <v>1319</v>
      </c>
      <c r="B320" t="s">
        <v>109</v>
      </c>
      <c r="C320" t="s">
        <v>14</v>
      </c>
      <c r="D320" t="s">
        <v>15</v>
      </c>
      <c r="E320" t="s">
        <v>41</v>
      </c>
      <c r="F320" t="s">
        <v>17</v>
      </c>
      <c r="G320">
        <v>9</v>
      </c>
      <c r="H320">
        <v>79</v>
      </c>
      <c r="I320">
        <v>711</v>
      </c>
      <c r="J320">
        <v>533</v>
      </c>
      <c r="K320">
        <v>178</v>
      </c>
      <c r="L320" t="s">
        <v>38</v>
      </c>
      <c r="M320" t="s">
        <v>29</v>
      </c>
      <c r="N320" t="str">
        <f>IF(SalesTbl[[#This Row],[Profit]]&gt;180,"High Profit","Low Profit")</f>
        <v>Low Profit</v>
      </c>
      <c r="O320" t="str">
        <f>TEXT(SalesTbl[[#This Row],[Date]],"mmm")</f>
        <v>Apr</v>
      </c>
    </row>
    <row r="321" spans="1:15" x14ac:dyDescent="0.3">
      <c r="A321">
        <v>1320</v>
      </c>
      <c r="B321" t="s">
        <v>114</v>
      </c>
      <c r="C321" t="s">
        <v>21</v>
      </c>
      <c r="D321" t="s">
        <v>26</v>
      </c>
      <c r="E321" t="s">
        <v>54</v>
      </c>
      <c r="F321" t="s">
        <v>17</v>
      </c>
      <c r="G321">
        <v>1</v>
      </c>
      <c r="H321">
        <v>400</v>
      </c>
      <c r="I321">
        <v>400</v>
      </c>
      <c r="J321">
        <v>240</v>
      </c>
      <c r="K321">
        <v>160</v>
      </c>
      <c r="L321" t="s">
        <v>24</v>
      </c>
      <c r="M321" t="s">
        <v>19</v>
      </c>
      <c r="N321" t="str">
        <f>IF(SalesTbl[[#This Row],[Profit]]&gt;180,"High Profit","Low Profit")</f>
        <v>Low Profit</v>
      </c>
      <c r="O321" t="str">
        <f>TEXT(SalesTbl[[#This Row],[Date]],"mmm")</f>
        <v>Jan</v>
      </c>
    </row>
    <row r="322" spans="1:15" x14ac:dyDescent="0.3">
      <c r="A322">
        <v>1321</v>
      </c>
      <c r="B322" t="s">
        <v>102</v>
      </c>
      <c r="C322" t="s">
        <v>31</v>
      </c>
      <c r="D322" t="s">
        <v>35</v>
      </c>
      <c r="E322" t="s">
        <v>27</v>
      </c>
      <c r="F322" t="s">
        <v>17</v>
      </c>
      <c r="G322">
        <v>2</v>
      </c>
      <c r="H322">
        <v>640</v>
      </c>
      <c r="I322">
        <v>1280</v>
      </c>
      <c r="J322">
        <v>960</v>
      </c>
      <c r="K322">
        <v>320</v>
      </c>
      <c r="L322" t="s">
        <v>28</v>
      </c>
      <c r="M322" t="s">
        <v>19</v>
      </c>
      <c r="N322" t="str">
        <f>IF(SalesTbl[[#This Row],[Profit]]&gt;180,"High Profit","Low Profit")</f>
        <v>High Profit</v>
      </c>
      <c r="O322" t="str">
        <f>TEXT(SalesTbl[[#This Row],[Date]],"mmm")</f>
        <v>May</v>
      </c>
    </row>
    <row r="323" spans="1:15" x14ac:dyDescent="0.3">
      <c r="A323">
        <v>1322</v>
      </c>
      <c r="B323" t="s">
        <v>143</v>
      </c>
      <c r="C323" t="s">
        <v>21</v>
      </c>
      <c r="D323" t="s">
        <v>32</v>
      </c>
      <c r="E323" t="s">
        <v>16</v>
      </c>
      <c r="F323" t="s">
        <v>17</v>
      </c>
      <c r="G323">
        <v>7</v>
      </c>
      <c r="H323">
        <v>208</v>
      </c>
      <c r="I323">
        <v>1456</v>
      </c>
      <c r="J323">
        <v>1004</v>
      </c>
      <c r="K323">
        <v>452</v>
      </c>
      <c r="L323" t="s">
        <v>24</v>
      </c>
      <c r="M323" t="s">
        <v>19</v>
      </c>
      <c r="N323" t="str">
        <f>IF(SalesTbl[[#This Row],[Profit]]&gt;180,"High Profit","Low Profit")</f>
        <v>High Profit</v>
      </c>
      <c r="O323" t="str">
        <f>TEXT(SalesTbl[[#This Row],[Date]],"mmm")</f>
        <v>Mar</v>
      </c>
    </row>
    <row r="324" spans="1:15" x14ac:dyDescent="0.3">
      <c r="A324">
        <v>1323</v>
      </c>
      <c r="B324" t="s">
        <v>189</v>
      </c>
      <c r="C324" t="s">
        <v>14</v>
      </c>
      <c r="D324" t="s">
        <v>26</v>
      </c>
      <c r="E324" t="s">
        <v>48</v>
      </c>
      <c r="F324" t="s">
        <v>23</v>
      </c>
      <c r="G324">
        <v>7</v>
      </c>
      <c r="H324">
        <v>427</v>
      </c>
      <c r="I324">
        <v>2989</v>
      </c>
      <c r="J324">
        <v>1942</v>
      </c>
      <c r="K324">
        <v>1047</v>
      </c>
      <c r="L324" t="s">
        <v>33</v>
      </c>
      <c r="M324" t="s">
        <v>29</v>
      </c>
      <c r="N324" t="str">
        <f>IF(SalesTbl[[#This Row],[Profit]]&gt;180,"High Profit","Low Profit")</f>
        <v>High Profit</v>
      </c>
      <c r="O324" t="str">
        <f>TEXT(SalesTbl[[#This Row],[Date]],"mmm")</f>
        <v>May</v>
      </c>
    </row>
    <row r="325" spans="1:15" x14ac:dyDescent="0.3">
      <c r="A325">
        <v>1324</v>
      </c>
      <c r="B325" t="s">
        <v>69</v>
      </c>
      <c r="C325" t="s">
        <v>21</v>
      </c>
      <c r="D325" t="s">
        <v>26</v>
      </c>
      <c r="E325" t="s">
        <v>54</v>
      </c>
      <c r="F325" t="s">
        <v>17</v>
      </c>
      <c r="G325">
        <v>5</v>
      </c>
      <c r="H325">
        <v>238</v>
      </c>
      <c r="I325">
        <v>1190</v>
      </c>
      <c r="J325">
        <v>749</v>
      </c>
      <c r="K325">
        <v>441</v>
      </c>
      <c r="L325" t="s">
        <v>18</v>
      </c>
      <c r="M325" t="s">
        <v>29</v>
      </c>
      <c r="N325" t="str">
        <f>IF(SalesTbl[[#This Row],[Profit]]&gt;180,"High Profit","Low Profit")</f>
        <v>High Profit</v>
      </c>
      <c r="O325" t="str">
        <f>TEXT(SalesTbl[[#This Row],[Date]],"mmm")</f>
        <v>May</v>
      </c>
    </row>
    <row r="326" spans="1:15" x14ac:dyDescent="0.3">
      <c r="A326">
        <v>1325</v>
      </c>
      <c r="B326" t="s">
        <v>184</v>
      </c>
      <c r="C326" t="s">
        <v>14</v>
      </c>
      <c r="D326" t="s">
        <v>35</v>
      </c>
      <c r="E326" t="s">
        <v>54</v>
      </c>
      <c r="F326" t="s">
        <v>17</v>
      </c>
      <c r="G326">
        <v>4</v>
      </c>
      <c r="H326">
        <v>489</v>
      </c>
      <c r="I326">
        <v>1956</v>
      </c>
      <c r="J326">
        <v>1506</v>
      </c>
      <c r="K326">
        <v>450</v>
      </c>
      <c r="L326" t="s">
        <v>24</v>
      </c>
      <c r="M326" t="s">
        <v>29</v>
      </c>
      <c r="N326" t="str">
        <f>IF(SalesTbl[[#This Row],[Profit]]&gt;180,"High Profit","Low Profit")</f>
        <v>High Profit</v>
      </c>
      <c r="O326" t="str">
        <f>TEXT(SalesTbl[[#This Row],[Date]],"mmm")</f>
        <v>Apr</v>
      </c>
    </row>
    <row r="327" spans="1:15" x14ac:dyDescent="0.3">
      <c r="A327">
        <v>1326</v>
      </c>
      <c r="B327" t="s">
        <v>105</v>
      </c>
      <c r="C327" t="s">
        <v>31</v>
      </c>
      <c r="D327" t="s">
        <v>15</v>
      </c>
      <c r="E327" t="s">
        <v>48</v>
      </c>
      <c r="F327" t="s">
        <v>23</v>
      </c>
      <c r="G327">
        <v>1</v>
      </c>
      <c r="H327">
        <v>365</v>
      </c>
      <c r="I327">
        <v>365</v>
      </c>
      <c r="J327">
        <v>229</v>
      </c>
      <c r="K327">
        <v>136</v>
      </c>
      <c r="L327" t="s">
        <v>28</v>
      </c>
      <c r="M327" t="s">
        <v>19</v>
      </c>
      <c r="N327" t="str">
        <f>IF(SalesTbl[[#This Row],[Profit]]&gt;180,"High Profit","Low Profit")</f>
        <v>Low Profit</v>
      </c>
      <c r="O327" t="str">
        <f>TEXT(SalesTbl[[#This Row],[Date]],"mmm")</f>
        <v>Jun</v>
      </c>
    </row>
    <row r="328" spans="1:15" x14ac:dyDescent="0.3">
      <c r="A328">
        <v>1327</v>
      </c>
      <c r="B328" t="s">
        <v>51</v>
      </c>
      <c r="C328" t="s">
        <v>21</v>
      </c>
      <c r="D328" t="s">
        <v>32</v>
      </c>
      <c r="E328" t="s">
        <v>54</v>
      </c>
      <c r="F328" t="s">
        <v>17</v>
      </c>
      <c r="G328">
        <v>10</v>
      </c>
      <c r="H328">
        <v>58</v>
      </c>
      <c r="I328">
        <v>580</v>
      </c>
      <c r="J328">
        <v>429</v>
      </c>
      <c r="K328">
        <v>151</v>
      </c>
      <c r="L328" t="s">
        <v>28</v>
      </c>
      <c r="M328" t="s">
        <v>19</v>
      </c>
      <c r="N328" t="str">
        <f>IF(SalesTbl[[#This Row],[Profit]]&gt;180,"High Profit","Low Profit")</f>
        <v>Low Profit</v>
      </c>
      <c r="O328" t="str">
        <f>TEXT(SalesTbl[[#This Row],[Date]],"mmm")</f>
        <v>May</v>
      </c>
    </row>
    <row r="329" spans="1:15" x14ac:dyDescent="0.3">
      <c r="A329">
        <v>1328</v>
      </c>
      <c r="B329" t="s">
        <v>67</v>
      </c>
      <c r="C329" t="s">
        <v>31</v>
      </c>
      <c r="D329" t="s">
        <v>35</v>
      </c>
      <c r="E329" t="s">
        <v>48</v>
      </c>
      <c r="F329" t="s">
        <v>23</v>
      </c>
      <c r="G329">
        <v>4</v>
      </c>
      <c r="H329">
        <v>93</v>
      </c>
      <c r="I329">
        <v>372</v>
      </c>
      <c r="J329">
        <v>252</v>
      </c>
      <c r="K329">
        <v>120</v>
      </c>
      <c r="L329" t="s">
        <v>24</v>
      </c>
      <c r="M329" t="s">
        <v>29</v>
      </c>
      <c r="N329" t="str">
        <f>IF(SalesTbl[[#This Row],[Profit]]&gt;180,"High Profit","Low Profit")</f>
        <v>Low Profit</v>
      </c>
      <c r="O329" t="str">
        <f>TEXT(SalesTbl[[#This Row],[Date]],"mmm")</f>
        <v>Mar</v>
      </c>
    </row>
    <row r="330" spans="1:15" x14ac:dyDescent="0.3">
      <c r="A330">
        <v>1329</v>
      </c>
      <c r="B330" t="s">
        <v>70</v>
      </c>
      <c r="C330" t="s">
        <v>31</v>
      </c>
      <c r="D330" t="s">
        <v>26</v>
      </c>
      <c r="E330" t="s">
        <v>54</v>
      </c>
      <c r="F330" t="s">
        <v>17</v>
      </c>
      <c r="G330">
        <v>6</v>
      </c>
      <c r="H330">
        <v>584</v>
      </c>
      <c r="I330">
        <v>3504</v>
      </c>
      <c r="J330">
        <v>2382</v>
      </c>
      <c r="K330">
        <v>1122</v>
      </c>
      <c r="L330" t="s">
        <v>38</v>
      </c>
      <c r="M330" t="s">
        <v>19</v>
      </c>
      <c r="N330" t="str">
        <f>IF(SalesTbl[[#This Row],[Profit]]&gt;180,"High Profit","Low Profit")</f>
        <v>High Profit</v>
      </c>
      <c r="O330" t="str">
        <f>TEXT(SalesTbl[[#This Row],[Date]],"mmm")</f>
        <v>Mar</v>
      </c>
    </row>
    <row r="331" spans="1:15" x14ac:dyDescent="0.3">
      <c r="A331">
        <v>1330</v>
      </c>
      <c r="B331" t="s">
        <v>56</v>
      </c>
      <c r="C331" t="s">
        <v>31</v>
      </c>
      <c r="D331" t="s">
        <v>26</v>
      </c>
      <c r="E331" t="s">
        <v>16</v>
      </c>
      <c r="F331" t="s">
        <v>17</v>
      </c>
      <c r="G331">
        <v>1</v>
      </c>
      <c r="H331">
        <v>661</v>
      </c>
      <c r="I331">
        <v>661</v>
      </c>
      <c r="J331">
        <v>528</v>
      </c>
      <c r="K331">
        <v>133</v>
      </c>
      <c r="L331" t="s">
        <v>28</v>
      </c>
      <c r="M331" t="s">
        <v>19</v>
      </c>
      <c r="N331" t="str">
        <f>IF(SalesTbl[[#This Row],[Profit]]&gt;180,"High Profit","Low Profit")</f>
        <v>Low Profit</v>
      </c>
      <c r="O331" t="str">
        <f>TEXT(SalesTbl[[#This Row],[Date]],"mmm")</f>
        <v>Jan</v>
      </c>
    </row>
    <row r="332" spans="1:15" x14ac:dyDescent="0.3">
      <c r="A332">
        <v>1331</v>
      </c>
      <c r="B332" t="s">
        <v>126</v>
      </c>
      <c r="C332" t="s">
        <v>21</v>
      </c>
      <c r="D332" t="s">
        <v>15</v>
      </c>
      <c r="E332" t="s">
        <v>54</v>
      </c>
      <c r="F332" t="s">
        <v>17</v>
      </c>
      <c r="G332">
        <v>2</v>
      </c>
      <c r="H332">
        <v>712</v>
      </c>
      <c r="I332">
        <v>1424</v>
      </c>
      <c r="J332">
        <v>1011</v>
      </c>
      <c r="K332">
        <v>413</v>
      </c>
      <c r="L332" t="s">
        <v>33</v>
      </c>
      <c r="M332" t="s">
        <v>19</v>
      </c>
      <c r="N332" t="str">
        <f>IF(SalesTbl[[#This Row],[Profit]]&gt;180,"High Profit","Low Profit")</f>
        <v>High Profit</v>
      </c>
      <c r="O332" t="str">
        <f>TEXT(SalesTbl[[#This Row],[Date]],"mmm")</f>
        <v>May</v>
      </c>
    </row>
    <row r="333" spans="1:15" x14ac:dyDescent="0.3">
      <c r="A333">
        <v>1332</v>
      </c>
      <c r="B333" t="s">
        <v>66</v>
      </c>
      <c r="C333" t="s">
        <v>31</v>
      </c>
      <c r="D333" t="s">
        <v>26</v>
      </c>
      <c r="E333" t="s">
        <v>22</v>
      </c>
      <c r="F333" t="s">
        <v>23</v>
      </c>
      <c r="G333">
        <v>5</v>
      </c>
      <c r="H333">
        <v>695</v>
      </c>
      <c r="I333">
        <v>3475</v>
      </c>
      <c r="J333">
        <v>2571</v>
      </c>
      <c r="K333">
        <v>904</v>
      </c>
      <c r="L333" t="s">
        <v>33</v>
      </c>
      <c r="M333" t="s">
        <v>29</v>
      </c>
      <c r="N333" t="str">
        <f>IF(SalesTbl[[#This Row],[Profit]]&gt;180,"High Profit","Low Profit")</f>
        <v>High Profit</v>
      </c>
      <c r="O333" t="str">
        <f>TEXT(SalesTbl[[#This Row],[Date]],"mmm")</f>
        <v>Apr</v>
      </c>
    </row>
    <row r="334" spans="1:15" x14ac:dyDescent="0.3">
      <c r="A334">
        <v>1333</v>
      </c>
      <c r="B334" t="s">
        <v>190</v>
      </c>
      <c r="C334" t="s">
        <v>14</v>
      </c>
      <c r="D334" t="s">
        <v>15</v>
      </c>
      <c r="E334" t="s">
        <v>16</v>
      </c>
      <c r="F334" t="s">
        <v>17</v>
      </c>
      <c r="G334">
        <v>8</v>
      </c>
      <c r="H334">
        <v>518</v>
      </c>
      <c r="I334">
        <v>4144</v>
      </c>
      <c r="J334">
        <v>3108</v>
      </c>
      <c r="K334">
        <v>1036</v>
      </c>
      <c r="L334" t="s">
        <v>28</v>
      </c>
      <c r="M334" t="s">
        <v>29</v>
      </c>
      <c r="N334" t="str">
        <f>IF(SalesTbl[[#This Row],[Profit]]&gt;180,"High Profit","Low Profit")</f>
        <v>High Profit</v>
      </c>
      <c r="O334" t="str">
        <f>TEXT(SalesTbl[[#This Row],[Date]],"mmm")</f>
        <v>Jun</v>
      </c>
    </row>
    <row r="335" spans="1:15" x14ac:dyDescent="0.3">
      <c r="A335">
        <v>1334</v>
      </c>
      <c r="B335" t="s">
        <v>191</v>
      </c>
      <c r="C335" t="s">
        <v>31</v>
      </c>
      <c r="D335" t="s">
        <v>35</v>
      </c>
      <c r="E335" t="s">
        <v>54</v>
      </c>
      <c r="F335" t="s">
        <v>17</v>
      </c>
      <c r="G335">
        <v>4</v>
      </c>
      <c r="H335">
        <v>548</v>
      </c>
      <c r="I335">
        <v>2192</v>
      </c>
      <c r="J335">
        <v>1687</v>
      </c>
      <c r="K335">
        <v>505</v>
      </c>
      <c r="L335" t="s">
        <v>33</v>
      </c>
      <c r="M335" t="s">
        <v>29</v>
      </c>
      <c r="N335" t="str">
        <f>IF(SalesTbl[[#This Row],[Profit]]&gt;180,"High Profit","Low Profit")</f>
        <v>High Profit</v>
      </c>
      <c r="O335" t="str">
        <f>TEXT(SalesTbl[[#This Row],[Date]],"mmm")</f>
        <v>May</v>
      </c>
    </row>
    <row r="336" spans="1:15" x14ac:dyDescent="0.3">
      <c r="A336">
        <v>1335</v>
      </c>
      <c r="B336" t="s">
        <v>109</v>
      </c>
      <c r="C336" t="s">
        <v>40</v>
      </c>
      <c r="D336" t="s">
        <v>26</v>
      </c>
      <c r="E336" t="s">
        <v>22</v>
      </c>
      <c r="F336" t="s">
        <v>23</v>
      </c>
      <c r="G336">
        <v>7</v>
      </c>
      <c r="H336">
        <v>422</v>
      </c>
      <c r="I336">
        <v>2954</v>
      </c>
      <c r="J336">
        <v>2245</v>
      </c>
      <c r="K336">
        <v>709</v>
      </c>
      <c r="L336" t="s">
        <v>18</v>
      </c>
      <c r="M336" t="s">
        <v>19</v>
      </c>
      <c r="N336" t="str">
        <f>IF(SalesTbl[[#This Row],[Profit]]&gt;180,"High Profit","Low Profit")</f>
        <v>High Profit</v>
      </c>
      <c r="O336" t="str">
        <f>TEXT(SalesTbl[[#This Row],[Date]],"mmm")</f>
        <v>Apr</v>
      </c>
    </row>
    <row r="337" spans="1:15" x14ac:dyDescent="0.3">
      <c r="A337">
        <v>1336</v>
      </c>
      <c r="B337" t="s">
        <v>185</v>
      </c>
      <c r="C337" t="s">
        <v>14</v>
      </c>
      <c r="D337" t="s">
        <v>32</v>
      </c>
      <c r="E337" t="s">
        <v>41</v>
      </c>
      <c r="F337" t="s">
        <v>17</v>
      </c>
      <c r="G337">
        <v>3</v>
      </c>
      <c r="H337">
        <v>233</v>
      </c>
      <c r="I337">
        <v>699</v>
      </c>
      <c r="J337">
        <v>447</v>
      </c>
      <c r="K337">
        <v>252</v>
      </c>
      <c r="L337" t="s">
        <v>28</v>
      </c>
      <c r="M337" t="s">
        <v>19</v>
      </c>
      <c r="N337" t="str">
        <f>IF(SalesTbl[[#This Row],[Profit]]&gt;180,"High Profit","Low Profit")</f>
        <v>High Profit</v>
      </c>
      <c r="O337" t="str">
        <f>TEXT(SalesTbl[[#This Row],[Date]],"mmm")</f>
        <v>Jun</v>
      </c>
    </row>
    <row r="338" spans="1:15" x14ac:dyDescent="0.3">
      <c r="A338">
        <v>1337</v>
      </c>
      <c r="B338" t="s">
        <v>123</v>
      </c>
      <c r="C338" t="s">
        <v>31</v>
      </c>
      <c r="D338" t="s">
        <v>26</v>
      </c>
      <c r="E338" t="s">
        <v>48</v>
      </c>
      <c r="F338" t="s">
        <v>23</v>
      </c>
      <c r="G338">
        <v>1</v>
      </c>
      <c r="H338">
        <v>932</v>
      </c>
      <c r="I338">
        <v>932</v>
      </c>
      <c r="J338">
        <v>671</v>
      </c>
      <c r="K338">
        <v>261</v>
      </c>
      <c r="L338" t="s">
        <v>28</v>
      </c>
      <c r="M338" t="s">
        <v>19</v>
      </c>
      <c r="N338" t="str">
        <f>IF(SalesTbl[[#This Row],[Profit]]&gt;180,"High Profit","Low Profit")</f>
        <v>High Profit</v>
      </c>
      <c r="O338" t="str">
        <f>TEXT(SalesTbl[[#This Row],[Date]],"mmm")</f>
        <v>Jan</v>
      </c>
    </row>
    <row r="339" spans="1:15" x14ac:dyDescent="0.3">
      <c r="A339">
        <v>1338</v>
      </c>
      <c r="B339" t="s">
        <v>129</v>
      </c>
      <c r="C339" t="s">
        <v>21</v>
      </c>
      <c r="D339" t="s">
        <v>35</v>
      </c>
      <c r="E339" t="s">
        <v>48</v>
      </c>
      <c r="F339" t="s">
        <v>23</v>
      </c>
      <c r="G339">
        <v>4</v>
      </c>
      <c r="H339">
        <v>227</v>
      </c>
      <c r="I339">
        <v>908</v>
      </c>
      <c r="J339">
        <v>699</v>
      </c>
      <c r="K339">
        <v>209</v>
      </c>
      <c r="L339" t="s">
        <v>33</v>
      </c>
      <c r="M339" t="s">
        <v>19</v>
      </c>
      <c r="N339" t="str">
        <f>IF(SalesTbl[[#This Row],[Profit]]&gt;180,"High Profit","Low Profit")</f>
        <v>High Profit</v>
      </c>
      <c r="O339" t="str">
        <f>TEXT(SalesTbl[[#This Row],[Date]],"mmm")</f>
        <v>Mar</v>
      </c>
    </row>
    <row r="340" spans="1:15" x14ac:dyDescent="0.3">
      <c r="A340">
        <v>1339</v>
      </c>
      <c r="B340" t="s">
        <v>173</v>
      </c>
      <c r="C340" t="s">
        <v>14</v>
      </c>
      <c r="D340" t="s">
        <v>32</v>
      </c>
      <c r="E340" t="s">
        <v>27</v>
      </c>
      <c r="F340" t="s">
        <v>17</v>
      </c>
      <c r="G340">
        <v>4</v>
      </c>
      <c r="H340">
        <v>635</v>
      </c>
      <c r="I340">
        <v>2540</v>
      </c>
      <c r="J340">
        <v>1727</v>
      </c>
      <c r="K340">
        <v>813</v>
      </c>
      <c r="L340" t="s">
        <v>33</v>
      </c>
      <c r="M340" t="s">
        <v>19</v>
      </c>
      <c r="N340" t="str">
        <f>IF(SalesTbl[[#This Row],[Profit]]&gt;180,"High Profit","Low Profit")</f>
        <v>High Profit</v>
      </c>
      <c r="O340" t="str">
        <f>TEXT(SalesTbl[[#This Row],[Date]],"mmm")</f>
        <v>Feb</v>
      </c>
    </row>
    <row r="341" spans="1:15" x14ac:dyDescent="0.3">
      <c r="A341">
        <v>1340</v>
      </c>
      <c r="B341" t="s">
        <v>192</v>
      </c>
      <c r="C341" t="s">
        <v>14</v>
      </c>
      <c r="D341" t="s">
        <v>35</v>
      </c>
      <c r="E341" t="s">
        <v>48</v>
      </c>
      <c r="F341" t="s">
        <v>23</v>
      </c>
      <c r="G341">
        <v>2</v>
      </c>
      <c r="H341">
        <v>957</v>
      </c>
      <c r="I341">
        <v>1914</v>
      </c>
      <c r="J341">
        <v>1397</v>
      </c>
      <c r="K341">
        <v>517</v>
      </c>
      <c r="L341" t="s">
        <v>28</v>
      </c>
      <c r="M341" t="s">
        <v>29</v>
      </c>
      <c r="N341" t="str">
        <f>IF(SalesTbl[[#This Row],[Profit]]&gt;180,"High Profit","Low Profit")</f>
        <v>High Profit</v>
      </c>
      <c r="O341" t="str">
        <f>TEXT(SalesTbl[[#This Row],[Date]],"mmm")</f>
        <v>May</v>
      </c>
    </row>
    <row r="342" spans="1:15" x14ac:dyDescent="0.3">
      <c r="A342">
        <v>1341</v>
      </c>
      <c r="B342" t="s">
        <v>96</v>
      </c>
      <c r="C342" t="s">
        <v>31</v>
      </c>
      <c r="D342" t="s">
        <v>35</v>
      </c>
      <c r="E342" t="s">
        <v>41</v>
      </c>
      <c r="F342" t="s">
        <v>17</v>
      </c>
      <c r="G342">
        <v>3</v>
      </c>
      <c r="H342">
        <v>448</v>
      </c>
      <c r="I342">
        <v>1344</v>
      </c>
      <c r="J342">
        <v>806</v>
      </c>
      <c r="K342">
        <v>538</v>
      </c>
      <c r="L342" t="s">
        <v>18</v>
      </c>
      <c r="M342" t="s">
        <v>29</v>
      </c>
      <c r="N342" t="str">
        <f>IF(SalesTbl[[#This Row],[Profit]]&gt;180,"High Profit","Low Profit")</f>
        <v>High Profit</v>
      </c>
      <c r="O342" t="str">
        <f>TEXT(SalesTbl[[#This Row],[Date]],"mmm")</f>
        <v>Jun</v>
      </c>
    </row>
    <row r="343" spans="1:15" x14ac:dyDescent="0.3">
      <c r="A343">
        <v>1648</v>
      </c>
      <c r="B343" t="s">
        <v>209</v>
      </c>
      <c r="C343" t="s">
        <v>40</v>
      </c>
      <c r="D343" t="s">
        <v>35</v>
      </c>
      <c r="E343" t="s">
        <v>16</v>
      </c>
      <c r="F343" t="s">
        <v>17</v>
      </c>
      <c r="G343">
        <v>5</v>
      </c>
      <c r="H343">
        <v>729</v>
      </c>
      <c r="I343">
        <v>3645</v>
      </c>
      <c r="J343">
        <v>2770</v>
      </c>
      <c r="K343">
        <v>875</v>
      </c>
      <c r="L343" t="s">
        <v>38</v>
      </c>
      <c r="M343" t="s">
        <v>19</v>
      </c>
      <c r="N343" t="str">
        <f>IF(SalesTbl[[#This Row],[Profit]]&gt;180,"High Profit","Low Profit")</f>
        <v>High Profit</v>
      </c>
      <c r="O343" t="str">
        <f>TEXT(SalesTbl[[#This Row],[Date]],"mmm")</f>
        <v>Jun</v>
      </c>
    </row>
    <row r="344" spans="1:15" x14ac:dyDescent="0.3">
      <c r="A344">
        <v>1343</v>
      </c>
      <c r="B344" t="s">
        <v>84</v>
      </c>
      <c r="C344" t="s">
        <v>14</v>
      </c>
      <c r="D344" t="s">
        <v>26</v>
      </c>
      <c r="E344" t="s">
        <v>54</v>
      </c>
      <c r="F344" t="s">
        <v>17</v>
      </c>
      <c r="G344">
        <v>3</v>
      </c>
      <c r="H344">
        <v>830</v>
      </c>
      <c r="I344">
        <v>2490</v>
      </c>
      <c r="J344">
        <v>1718</v>
      </c>
      <c r="K344">
        <v>772</v>
      </c>
      <c r="L344" t="s">
        <v>38</v>
      </c>
      <c r="M344" t="s">
        <v>29</v>
      </c>
      <c r="N344" t="str">
        <f>IF(SalesTbl[[#This Row],[Profit]]&gt;180,"High Profit","Low Profit")</f>
        <v>High Profit</v>
      </c>
      <c r="O344" t="str">
        <f>TEXT(SalesTbl[[#This Row],[Date]],"mmm")</f>
        <v>Apr</v>
      </c>
    </row>
    <row r="345" spans="1:15" x14ac:dyDescent="0.3">
      <c r="A345">
        <v>1344</v>
      </c>
      <c r="B345" t="s">
        <v>194</v>
      </c>
      <c r="C345" t="s">
        <v>31</v>
      </c>
      <c r="D345" t="s">
        <v>15</v>
      </c>
      <c r="E345" t="s">
        <v>22</v>
      </c>
      <c r="F345" t="s">
        <v>23</v>
      </c>
      <c r="G345">
        <v>3</v>
      </c>
      <c r="H345">
        <v>871</v>
      </c>
      <c r="I345">
        <v>2613</v>
      </c>
      <c r="J345">
        <v>1593</v>
      </c>
      <c r="K345">
        <v>1020</v>
      </c>
      <c r="L345" t="s">
        <v>28</v>
      </c>
      <c r="M345" t="s">
        <v>29</v>
      </c>
      <c r="N345" t="str">
        <f>IF(SalesTbl[[#This Row],[Profit]]&gt;180,"High Profit","Low Profit")</f>
        <v>High Profit</v>
      </c>
      <c r="O345" t="str">
        <f>TEXT(SalesTbl[[#This Row],[Date]],"mmm")</f>
        <v>Apr</v>
      </c>
    </row>
    <row r="346" spans="1:15" x14ac:dyDescent="0.3">
      <c r="A346">
        <v>1345</v>
      </c>
      <c r="B346" t="s">
        <v>113</v>
      </c>
      <c r="C346" t="s">
        <v>31</v>
      </c>
      <c r="D346" t="s">
        <v>32</v>
      </c>
      <c r="E346" t="s">
        <v>48</v>
      </c>
      <c r="F346" t="s">
        <v>23</v>
      </c>
      <c r="G346">
        <v>5</v>
      </c>
      <c r="H346">
        <v>648</v>
      </c>
      <c r="I346">
        <v>3240</v>
      </c>
      <c r="J346">
        <v>1944</v>
      </c>
      <c r="K346">
        <v>1296</v>
      </c>
      <c r="L346" t="s">
        <v>38</v>
      </c>
      <c r="M346" t="s">
        <v>19</v>
      </c>
      <c r="N346" t="str">
        <f>IF(SalesTbl[[#This Row],[Profit]]&gt;180,"High Profit","Low Profit")</f>
        <v>High Profit</v>
      </c>
      <c r="O346" t="str">
        <f>TEXT(SalesTbl[[#This Row],[Date]],"mmm")</f>
        <v>May</v>
      </c>
    </row>
    <row r="347" spans="1:15" x14ac:dyDescent="0.3">
      <c r="A347">
        <v>1346</v>
      </c>
      <c r="B347" t="s">
        <v>108</v>
      </c>
      <c r="C347" t="s">
        <v>21</v>
      </c>
      <c r="D347" t="s">
        <v>32</v>
      </c>
      <c r="E347" t="s">
        <v>48</v>
      </c>
      <c r="F347" t="s">
        <v>23</v>
      </c>
      <c r="G347">
        <v>9</v>
      </c>
      <c r="H347">
        <v>983</v>
      </c>
      <c r="I347">
        <v>8847</v>
      </c>
      <c r="J347">
        <v>6281</v>
      </c>
      <c r="K347">
        <v>2566</v>
      </c>
      <c r="L347" t="s">
        <v>28</v>
      </c>
      <c r="M347" t="s">
        <v>19</v>
      </c>
      <c r="N347" t="str">
        <f>IF(SalesTbl[[#This Row],[Profit]]&gt;180,"High Profit","Low Profit")</f>
        <v>High Profit</v>
      </c>
      <c r="O347" t="str">
        <f>TEXT(SalesTbl[[#This Row],[Date]],"mmm")</f>
        <v>Apr</v>
      </c>
    </row>
    <row r="348" spans="1:15" x14ac:dyDescent="0.3">
      <c r="A348">
        <v>1347</v>
      </c>
      <c r="B348" t="s">
        <v>94</v>
      </c>
      <c r="C348" t="s">
        <v>31</v>
      </c>
      <c r="D348" t="s">
        <v>32</v>
      </c>
      <c r="E348" t="s">
        <v>16</v>
      </c>
      <c r="F348" t="s">
        <v>17</v>
      </c>
      <c r="G348">
        <v>4</v>
      </c>
      <c r="H348">
        <v>550</v>
      </c>
      <c r="I348">
        <v>2200</v>
      </c>
      <c r="J348">
        <v>1474</v>
      </c>
      <c r="K348">
        <v>726</v>
      </c>
      <c r="L348" t="s">
        <v>38</v>
      </c>
      <c r="M348" t="s">
        <v>29</v>
      </c>
      <c r="N348" t="str">
        <f>IF(SalesTbl[[#This Row],[Profit]]&gt;180,"High Profit","Low Profit")</f>
        <v>High Profit</v>
      </c>
      <c r="O348" t="str">
        <f>TEXT(SalesTbl[[#This Row],[Date]],"mmm")</f>
        <v>Mar</v>
      </c>
    </row>
    <row r="349" spans="1:15" x14ac:dyDescent="0.3">
      <c r="A349">
        <v>1567</v>
      </c>
      <c r="B349" t="s">
        <v>53</v>
      </c>
      <c r="C349" t="s">
        <v>40</v>
      </c>
      <c r="D349" t="s">
        <v>35</v>
      </c>
      <c r="E349" t="s">
        <v>27</v>
      </c>
      <c r="F349" t="s">
        <v>17</v>
      </c>
      <c r="G349">
        <v>7</v>
      </c>
      <c r="H349">
        <v>612</v>
      </c>
      <c r="I349">
        <v>4284</v>
      </c>
      <c r="J349">
        <v>3427</v>
      </c>
      <c r="K349">
        <v>857</v>
      </c>
      <c r="L349" t="s">
        <v>24</v>
      </c>
      <c r="M349" t="s">
        <v>19</v>
      </c>
      <c r="N349" t="str">
        <f>IF(SalesTbl[[#This Row],[Profit]]&gt;180,"High Profit","Low Profit")</f>
        <v>High Profit</v>
      </c>
      <c r="O349" t="str">
        <f>TEXT(SalesTbl[[#This Row],[Date]],"mmm")</f>
        <v>Apr</v>
      </c>
    </row>
    <row r="350" spans="1:15" x14ac:dyDescent="0.3">
      <c r="A350">
        <v>1349</v>
      </c>
      <c r="B350" t="s">
        <v>165</v>
      </c>
      <c r="C350" t="s">
        <v>31</v>
      </c>
      <c r="D350" t="s">
        <v>35</v>
      </c>
      <c r="E350" t="s">
        <v>27</v>
      </c>
      <c r="F350" t="s">
        <v>17</v>
      </c>
      <c r="G350">
        <v>1</v>
      </c>
      <c r="H350">
        <v>769</v>
      </c>
      <c r="I350">
        <v>769</v>
      </c>
      <c r="J350">
        <v>561</v>
      </c>
      <c r="K350">
        <v>208</v>
      </c>
      <c r="L350" t="s">
        <v>18</v>
      </c>
      <c r="M350" t="s">
        <v>29</v>
      </c>
      <c r="N350" t="str">
        <f>IF(SalesTbl[[#This Row],[Profit]]&gt;180,"High Profit","Low Profit")</f>
        <v>High Profit</v>
      </c>
      <c r="O350" t="str">
        <f>TEXT(SalesTbl[[#This Row],[Date]],"mmm")</f>
        <v>Mar</v>
      </c>
    </row>
    <row r="351" spans="1:15" x14ac:dyDescent="0.3">
      <c r="A351">
        <v>1350</v>
      </c>
      <c r="B351" t="s">
        <v>67</v>
      </c>
      <c r="C351" t="s">
        <v>14</v>
      </c>
      <c r="D351" t="s">
        <v>26</v>
      </c>
      <c r="E351" t="s">
        <v>48</v>
      </c>
      <c r="F351" t="s">
        <v>23</v>
      </c>
      <c r="G351">
        <v>9</v>
      </c>
      <c r="H351">
        <v>55</v>
      </c>
      <c r="I351">
        <v>495</v>
      </c>
      <c r="J351">
        <v>311</v>
      </c>
      <c r="K351">
        <v>184</v>
      </c>
      <c r="L351" t="s">
        <v>28</v>
      </c>
      <c r="M351" t="s">
        <v>19</v>
      </c>
      <c r="N351" t="str">
        <f>IF(SalesTbl[[#This Row],[Profit]]&gt;180,"High Profit","Low Profit")</f>
        <v>High Profit</v>
      </c>
      <c r="O351" t="str">
        <f>TEXT(SalesTbl[[#This Row],[Date]],"mmm")</f>
        <v>Mar</v>
      </c>
    </row>
    <row r="352" spans="1:15" x14ac:dyDescent="0.3">
      <c r="A352">
        <v>1351</v>
      </c>
      <c r="B352" t="s">
        <v>157</v>
      </c>
      <c r="C352" t="s">
        <v>14</v>
      </c>
      <c r="D352" t="s">
        <v>35</v>
      </c>
      <c r="E352" t="s">
        <v>41</v>
      </c>
      <c r="F352" t="s">
        <v>17</v>
      </c>
      <c r="G352">
        <v>4</v>
      </c>
      <c r="H352">
        <v>305</v>
      </c>
      <c r="I352">
        <v>1220</v>
      </c>
      <c r="J352">
        <v>732</v>
      </c>
      <c r="K352">
        <v>488</v>
      </c>
      <c r="L352" t="s">
        <v>28</v>
      </c>
      <c r="M352" t="s">
        <v>29</v>
      </c>
      <c r="N352" t="str">
        <f>IF(SalesTbl[[#This Row],[Profit]]&gt;180,"High Profit","Low Profit")</f>
        <v>High Profit</v>
      </c>
      <c r="O352" t="str">
        <f>TEXT(SalesTbl[[#This Row],[Date]],"mmm")</f>
        <v>Feb</v>
      </c>
    </row>
    <row r="353" spans="1:15" x14ac:dyDescent="0.3">
      <c r="A353">
        <v>1352</v>
      </c>
      <c r="B353" t="s">
        <v>156</v>
      </c>
      <c r="C353" t="s">
        <v>40</v>
      </c>
      <c r="D353" t="s">
        <v>35</v>
      </c>
      <c r="E353" t="s">
        <v>22</v>
      </c>
      <c r="F353" t="s">
        <v>23</v>
      </c>
      <c r="G353">
        <v>9</v>
      </c>
      <c r="H353">
        <v>56</v>
      </c>
      <c r="I353">
        <v>504</v>
      </c>
      <c r="J353">
        <v>372</v>
      </c>
      <c r="K353">
        <v>132</v>
      </c>
      <c r="L353" t="s">
        <v>33</v>
      </c>
      <c r="M353" t="s">
        <v>29</v>
      </c>
      <c r="N353" t="str">
        <f>IF(SalesTbl[[#This Row],[Profit]]&gt;180,"High Profit","Low Profit")</f>
        <v>Low Profit</v>
      </c>
      <c r="O353" t="str">
        <f>TEXT(SalesTbl[[#This Row],[Date]],"mmm")</f>
        <v>Feb</v>
      </c>
    </row>
    <row r="354" spans="1:15" x14ac:dyDescent="0.3">
      <c r="A354">
        <v>1353</v>
      </c>
      <c r="B354" t="s">
        <v>107</v>
      </c>
      <c r="C354" t="s">
        <v>14</v>
      </c>
      <c r="D354" t="s">
        <v>26</v>
      </c>
      <c r="E354" t="s">
        <v>54</v>
      </c>
      <c r="F354" t="s">
        <v>17</v>
      </c>
      <c r="G354">
        <v>8</v>
      </c>
      <c r="H354">
        <v>605</v>
      </c>
      <c r="I354">
        <v>4840</v>
      </c>
      <c r="J354">
        <v>3726</v>
      </c>
      <c r="K354">
        <v>1114</v>
      </c>
      <c r="L354" t="s">
        <v>18</v>
      </c>
      <c r="M354" t="s">
        <v>29</v>
      </c>
      <c r="N354" t="str">
        <f>IF(SalesTbl[[#This Row],[Profit]]&gt;180,"High Profit","Low Profit")</f>
        <v>High Profit</v>
      </c>
      <c r="O354" t="str">
        <f>TEXT(SalesTbl[[#This Row],[Date]],"mmm")</f>
        <v>Apr</v>
      </c>
    </row>
    <row r="355" spans="1:15" x14ac:dyDescent="0.3">
      <c r="A355">
        <v>1354</v>
      </c>
      <c r="B355" t="s">
        <v>52</v>
      </c>
      <c r="C355" t="s">
        <v>31</v>
      </c>
      <c r="D355" t="s">
        <v>32</v>
      </c>
      <c r="E355" t="s">
        <v>22</v>
      </c>
      <c r="F355" t="s">
        <v>23</v>
      </c>
      <c r="G355">
        <v>8</v>
      </c>
      <c r="H355">
        <v>315</v>
      </c>
      <c r="I355">
        <v>2520</v>
      </c>
      <c r="J355">
        <v>1713</v>
      </c>
      <c r="K355">
        <v>807</v>
      </c>
      <c r="L355" t="s">
        <v>18</v>
      </c>
      <c r="M355" t="s">
        <v>19</v>
      </c>
      <c r="N355" t="str">
        <f>IF(SalesTbl[[#This Row],[Profit]]&gt;180,"High Profit","Low Profit")</f>
        <v>High Profit</v>
      </c>
      <c r="O355" t="str">
        <f>TEXT(SalesTbl[[#This Row],[Date]],"mmm")</f>
        <v>Mar</v>
      </c>
    </row>
    <row r="356" spans="1:15" x14ac:dyDescent="0.3">
      <c r="A356">
        <v>1308</v>
      </c>
      <c r="B356" t="s">
        <v>185</v>
      </c>
      <c r="C356" t="s">
        <v>40</v>
      </c>
      <c r="D356" t="s">
        <v>26</v>
      </c>
      <c r="E356" t="s">
        <v>54</v>
      </c>
      <c r="F356" t="s">
        <v>17</v>
      </c>
      <c r="G356">
        <v>5</v>
      </c>
      <c r="H356">
        <v>581</v>
      </c>
      <c r="I356">
        <v>2905</v>
      </c>
      <c r="J356">
        <v>2062</v>
      </c>
      <c r="K356">
        <v>843</v>
      </c>
      <c r="L356" t="s">
        <v>24</v>
      </c>
      <c r="M356" t="s">
        <v>19</v>
      </c>
      <c r="N356" t="str">
        <f>IF(SalesTbl[[#This Row],[Profit]]&gt;180,"High Profit","Low Profit")</f>
        <v>High Profit</v>
      </c>
      <c r="O356" t="str">
        <f>TEXT(SalesTbl[[#This Row],[Date]],"mmm")</f>
        <v>Jun</v>
      </c>
    </row>
    <row r="357" spans="1:15" x14ac:dyDescent="0.3">
      <c r="A357">
        <v>1356</v>
      </c>
      <c r="B357" t="s">
        <v>128</v>
      </c>
      <c r="C357" t="s">
        <v>31</v>
      </c>
      <c r="D357" t="s">
        <v>15</v>
      </c>
      <c r="E357" t="s">
        <v>16</v>
      </c>
      <c r="F357" t="s">
        <v>17</v>
      </c>
      <c r="G357">
        <v>10</v>
      </c>
      <c r="H357">
        <v>577</v>
      </c>
      <c r="I357">
        <v>5770</v>
      </c>
      <c r="J357">
        <v>3519</v>
      </c>
      <c r="K357">
        <v>2251</v>
      </c>
      <c r="L357" t="s">
        <v>38</v>
      </c>
      <c r="M357" t="s">
        <v>19</v>
      </c>
      <c r="N357" t="str">
        <f>IF(SalesTbl[[#This Row],[Profit]]&gt;180,"High Profit","Low Profit")</f>
        <v>High Profit</v>
      </c>
      <c r="O357" t="str">
        <f>TEXT(SalesTbl[[#This Row],[Date]],"mmm")</f>
        <v>Jan</v>
      </c>
    </row>
    <row r="358" spans="1:15" x14ac:dyDescent="0.3">
      <c r="A358">
        <v>1357</v>
      </c>
      <c r="B358" t="s">
        <v>82</v>
      </c>
      <c r="C358" t="s">
        <v>14</v>
      </c>
      <c r="D358" t="s">
        <v>32</v>
      </c>
      <c r="E358" t="s">
        <v>41</v>
      </c>
      <c r="F358" t="s">
        <v>17</v>
      </c>
      <c r="G358">
        <v>4</v>
      </c>
      <c r="H358">
        <v>684</v>
      </c>
      <c r="I358">
        <v>2736</v>
      </c>
      <c r="J358">
        <v>2079</v>
      </c>
      <c r="K358">
        <v>657</v>
      </c>
      <c r="L358" t="s">
        <v>28</v>
      </c>
      <c r="M358" t="s">
        <v>19</v>
      </c>
      <c r="N358" t="str">
        <f>IF(SalesTbl[[#This Row],[Profit]]&gt;180,"High Profit","Low Profit")</f>
        <v>High Profit</v>
      </c>
      <c r="O358" t="str">
        <f>TEXT(SalesTbl[[#This Row],[Date]],"mmm")</f>
        <v>Jan</v>
      </c>
    </row>
    <row r="359" spans="1:15" x14ac:dyDescent="0.3">
      <c r="A359">
        <v>1358</v>
      </c>
      <c r="B359" t="s">
        <v>60</v>
      </c>
      <c r="C359" t="s">
        <v>31</v>
      </c>
      <c r="D359" t="s">
        <v>26</v>
      </c>
      <c r="E359" t="s">
        <v>48</v>
      </c>
      <c r="F359" t="s">
        <v>23</v>
      </c>
      <c r="G359">
        <v>8</v>
      </c>
      <c r="H359">
        <v>739</v>
      </c>
      <c r="I359">
        <v>5912</v>
      </c>
      <c r="J359">
        <v>4374</v>
      </c>
      <c r="K359">
        <v>1538</v>
      </c>
      <c r="L359" t="s">
        <v>33</v>
      </c>
      <c r="M359" t="s">
        <v>19</v>
      </c>
      <c r="N359" t="str">
        <f>IF(SalesTbl[[#This Row],[Profit]]&gt;180,"High Profit","Low Profit")</f>
        <v>High Profit</v>
      </c>
      <c r="O359" t="str">
        <f>TEXT(SalesTbl[[#This Row],[Date]],"mmm")</f>
        <v>Jan</v>
      </c>
    </row>
    <row r="360" spans="1:15" x14ac:dyDescent="0.3">
      <c r="A360">
        <v>1359</v>
      </c>
      <c r="B360" t="s">
        <v>184</v>
      </c>
      <c r="C360" t="s">
        <v>14</v>
      </c>
      <c r="D360" t="s">
        <v>32</v>
      </c>
      <c r="E360" t="s">
        <v>16</v>
      </c>
      <c r="F360" t="s">
        <v>17</v>
      </c>
      <c r="G360">
        <v>9</v>
      </c>
      <c r="H360">
        <v>926</v>
      </c>
      <c r="I360">
        <v>8334</v>
      </c>
      <c r="J360">
        <v>6250</v>
      </c>
      <c r="K360">
        <v>2084</v>
      </c>
      <c r="L360" t="s">
        <v>18</v>
      </c>
      <c r="M360" t="s">
        <v>19</v>
      </c>
      <c r="N360" t="str">
        <f>IF(SalesTbl[[#This Row],[Profit]]&gt;180,"High Profit","Low Profit")</f>
        <v>High Profit</v>
      </c>
      <c r="O360" t="str">
        <f>TEXT(SalesTbl[[#This Row],[Date]],"mmm")</f>
        <v>Apr</v>
      </c>
    </row>
    <row r="361" spans="1:15" x14ac:dyDescent="0.3">
      <c r="A361">
        <v>1360</v>
      </c>
      <c r="B361" t="s">
        <v>77</v>
      </c>
      <c r="C361" t="s">
        <v>31</v>
      </c>
      <c r="D361" t="s">
        <v>26</v>
      </c>
      <c r="E361" t="s">
        <v>22</v>
      </c>
      <c r="F361" t="s">
        <v>23</v>
      </c>
      <c r="G361">
        <v>7</v>
      </c>
      <c r="H361">
        <v>845</v>
      </c>
      <c r="I361">
        <v>5915</v>
      </c>
      <c r="J361">
        <v>4377</v>
      </c>
      <c r="K361">
        <v>1538</v>
      </c>
      <c r="L361" t="s">
        <v>38</v>
      </c>
      <c r="M361" t="s">
        <v>29</v>
      </c>
      <c r="N361" t="str">
        <f>IF(SalesTbl[[#This Row],[Profit]]&gt;180,"High Profit","Low Profit")</f>
        <v>High Profit</v>
      </c>
      <c r="O361" t="str">
        <f>TEXT(SalesTbl[[#This Row],[Date]],"mmm")</f>
        <v>May</v>
      </c>
    </row>
    <row r="362" spans="1:15" x14ac:dyDescent="0.3">
      <c r="A362">
        <v>1361</v>
      </c>
      <c r="B362" t="s">
        <v>144</v>
      </c>
      <c r="C362" t="s">
        <v>31</v>
      </c>
      <c r="D362" t="s">
        <v>15</v>
      </c>
      <c r="E362" t="s">
        <v>27</v>
      </c>
      <c r="F362" t="s">
        <v>17</v>
      </c>
      <c r="G362">
        <v>10</v>
      </c>
      <c r="H362">
        <v>530</v>
      </c>
      <c r="I362">
        <v>5300</v>
      </c>
      <c r="J362">
        <v>3286</v>
      </c>
      <c r="K362">
        <v>2014</v>
      </c>
      <c r="L362" t="s">
        <v>24</v>
      </c>
      <c r="M362" t="s">
        <v>19</v>
      </c>
      <c r="N362" t="str">
        <f>IF(SalesTbl[[#This Row],[Profit]]&gt;180,"High Profit","Low Profit")</f>
        <v>High Profit</v>
      </c>
      <c r="O362" t="str">
        <f>TEXT(SalesTbl[[#This Row],[Date]],"mmm")</f>
        <v>Mar</v>
      </c>
    </row>
    <row r="363" spans="1:15" x14ac:dyDescent="0.3">
      <c r="A363">
        <v>1362</v>
      </c>
      <c r="B363" t="s">
        <v>50</v>
      </c>
      <c r="C363" t="s">
        <v>31</v>
      </c>
      <c r="D363" t="s">
        <v>15</v>
      </c>
      <c r="E363" t="s">
        <v>41</v>
      </c>
      <c r="F363" t="s">
        <v>17</v>
      </c>
      <c r="G363">
        <v>4</v>
      </c>
      <c r="H363">
        <v>917</v>
      </c>
      <c r="I363">
        <v>3668</v>
      </c>
      <c r="J363">
        <v>2494</v>
      </c>
      <c r="K363">
        <v>1174</v>
      </c>
      <c r="L363" t="s">
        <v>24</v>
      </c>
      <c r="M363" t="s">
        <v>19</v>
      </c>
      <c r="N363" t="str">
        <f>IF(SalesTbl[[#This Row],[Profit]]&gt;180,"High Profit","Low Profit")</f>
        <v>High Profit</v>
      </c>
      <c r="O363" t="str">
        <f>TEXT(SalesTbl[[#This Row],[Date]],"mmm")</f>
        <v>Jun</v>
      </c>
    </row>
    <row r="364" spans="1:15" x14ac:dyDescent="0.3">
      <c r="A364">
        <v>1363</v>
      </c>
      <c r="B364" t="s">
        <v>180</v>
      </c>
      <c r="C364" t="s">
        <v>31</v>
      </c>
      <c r="D364" t="s">
        <v>26</v>
      </c>
      <c r="E364" t="s">
        <v>48</v>
      </c>
      <c r="F364" t="s">
        <v>23</v>
      </c>
      <c r="G364">
        <v>8</v>
      </c>
      <c r="H364">
        <v>244</v>
      </c>
      <c r="I364">
        <v>1952</v>
      </c>
      <c r="J364">
        <v>1522</v>
      </c>
      <c r="K364">
        <v>430</v>
      </c>
      <c r="L364" t="s">
        <v>24</v>
      </c>
      <c r="M364" t="s">
        <v>29</v>
      </c>
      <c r="N364" t="str">
        <f>IF(SalesTbl[[#This Row],[Profit]]&gt;180,"High Profit","Low Profit")</f>
        <v>High Profit</v>
      </c>
      <c r="O364" t="str">
        <f>TEXT(SalesTbl[[#This Row],[Date]],"mmm")</f>
        <v>Feb</v>
      </c>
    </row>
    <row r="365" spans="1:15" x14ac:dyDescent="0.3">
      <c r="A365">
        <v>1364</v>
      </c>
      <c r="B365" t="s">
        <v>195</v>
      </c>
      <c r="C365" t="s">
        <v>14</v>
      </c>
      <c r="D365" t="s">
        <v>26</v>
      </c>
      <c r="E365" t="s">
        <v>48</v>
      </c>
      <c r="F365" t="s">
        <v>23</v>
      </c>
      <c r="G365">
        <v>10</v>
      </c>
      <c r="H365">
        <v>456</v>
      </c>
      <c r="I365">
        <v>4560</v>
      </c>
      <c r="J365">
        <v>3556</v>
      </c>
      <c r="K365">
        <v>1004</v>
      </c>
      <c r="L365" t="s">
        <v>28</v>
      </c>
      <c r="M365" t="s">
        <v>29</v>
      </c>
      <c r="N365" t="str">
        <f>IF(SalesTbl[[#This Row],[Profit]]&gt;180,"High Profit","Low Profit")</f>
        <v>High Profit</v>
      </c>
      <c r="O365" t="str">
        <f>TEXT(SalesTbl[[#This Row],[Date]],"mmm")</f>
        <v>Feb</v>
      </c>
    </row>
    <row r="366" spans="1:15" x14ac:dyDescent="0.3">
      <c r="A366">
        <v>1365</v>
      </c>
      <c r="B366" t="s">
        <v>94</v>
      </c>
      <c r="C366" t="s">
        <v>31</v>
      </c>
      <c r="D366" t="s">
        <v>35</v>
      </c>
      <c r="E366" t="s">
        <v>48</v>
      </c>
      <c r="F366" t="s">
        <v>23</v>
      </c>
      <c r="G366">
        <v>1</v>
      </c>
      <c r="H366">
        <v>139</v>
      </c>
      <c r="I366">
        <v>139</v>
      </c>
      <c r="J366">
        <v>94</v>
      </c>
      <c r="K366">
        <v>45</v>
      </c>
      <c r="L366" t="s">
        <v>24</v>
      </c>
      <c r="M366" t="s">
        <v>19</v>
      </c>
      <c r="N366" t="str">
        <f>IF(SalesTbl[[#This Row],[Profit]]&gt;180,"High Profit","Low Profit")</f>
        <v>Low Profit</v>
      </c>
      <c r="O366" t="str">
        <f>TEXT(SalesTbl[[#This Row],[Date]],"mmm")</f>
        <v>Mar</v>
      </c>
    </row>
    <row r="367" spans="1:15" x14ac:dyDescent="0.3">
      <c r="A367">
        <v>1366</v>
      </c>
      <c r="B367" t="s">
        <v>196</v>
      </c>
      <c r="C367" t="s">
        <v>21</v>
      </c>
      <c r="D367" t="s">
        <v>35</v>
      </c>
      <c r="E367" t="s">
        <v>48</v>
      </c>
      <c r="F367" t="s">
        <v>23</v>
      </c>
      <c r="G367">
        <v>8</v>
      </c>
      <c r="H367">
        <v>647</v>
      </c>
      <c r="I367">
        <v>5176</v>
      </c>
      <c r="J367">
        <v>3519</v>
      </c>
      <c r="K367">
        <v>1657</v>
      </c>
      <c r="L367" t="s">
        <v>28</v>
      </c>
      <c r="M367" t="s">
        <v>29</v>
      </c>
      <c r="N367" t="str">
        <f>IF(SalesTbl[[#This Row],[Profit]]&gt;180,"High Profit","Low Profit")</f>
        <v>High Profit</v>
      </c>
      <c r="O367" t="str">
        <f>TEXT(SalesTbl[[#This Row],[Date]],"mmm")</f>
        <v>May</v>
      </c>
    </row>
    <row r="368" spans="1:15" x14ac:dyDescent="0.3">
      <c r="A368">
        <v>1367</v>
      </c>
      <c r="B368" t="s">
        <v>81</v>
      </c>
      <c r="C368" t="s">
        <v>14</v>
      </c>
      <c r="D368" t="s">
        <v>32</v>
      </c>
      <c r="E368" t="s">
        <v>22</v>
      </c>
      <c r="F368" t="s">
        <v>23</v>
      </c>
      <c r="G368">
        <v>9</v>
      </c>
      <c r="H368">
        <v>501</v>
      </c>
      <c r="I368">
        <v>4509</v>
      </c>
      <c r="J368">
        <v>2930</v>
      </c>
      <c r="K368">
        <v>1579</v>
      </c>
      <c r="L368" t="s">
        <v>38</v>
      </c>
      <c r="M368" t="s">
        <v>19</v>
      </c>
      <c r="N368" t="str">
        <f>IF(SalesTbl[[#This Row],[Profit]]&gt;180,"High Profit","Low Profit")</f>
        <v>High Profit</v>
      </c>
      <c r="O368" t="str">
        <f>TEXT(SalesTbl[[#This Row],[Date]],"mmm")</f>
        <v>Apr</v>
      </c>
    </row>
    <row r="369" spans="1:15" x14ac:dyDescent="0.3">
      <c r="A369">
        <v>1887</v>
      </c>
      <c r="B369" t="s">
        <v>210</v>
      </c>
      <c r="C369" t="s">
        <v>40</v>
      </c>
      <c r="D369" t="s">
        <v>32</v>
      </c>
      <c r="E369" t="s">
        <v>16</v>
      </c>
      <c r="F369" t="s">
        <v>17</v>
      </c>
      <c r="G369">
        <v>8</v>
      </c>
      <c r="H369">
        <v>329</v>
      </c>
      <c r="I369">
        <v>2632</v>
      </c>
      <c r="J369">
        <v>1789</v>
      </c>
      <c r="K369">
        <v>843</v>
      </c>
      <c r="L369" t="s">
        <v>33</v>
      </c>
      <c r="M369" t="s">
        <v>19</v>
      </c>
      <c r="N369" t="str">
        <f>IF(SalesTbl[[#This Row],[Profit]]&gt;180,"High Profit","Low Profit")</f>
        <v>High Profit</v>
      </c>
      <c r="O369" t="str">
        <f>TEXT(SalesTbl[[#This Row],[Date]],"mmm")</f>
        <v>Apr</v>
      </c>
    </row>
    <row r="370" spans="1:15" x14ac:dyDescent="0.3">
      <c r="A370">
        <v>1369</v>
      </c>
      <c r="B370" t="s">
        <v>81</v>
      </c>
      <c r="C370" t="s">
        <v>14</v>
      </c>
      <c r="D370" t="s">
        <v>32</v>
      </c>
      <c r="E370" t="s">
        <v>22</v>
      </c>
      <c r="F370" t="s">
        <v>23</v>
      </c>
      <c r="G370">
        <v>8</v>
      </c>
      <c r="H370">
        <v>94</v>
      </c>
      <c r="I370">
        <v>752</v>
      </c>
      <c r="J370">
        <v>511</v>
      </c>
      <c r="K370">
        <v>241</v>
      </c>
      <c r="L370" t="s">
        <v>28</v>
      </c>
      <c r="M370" t="s">
        <v>29</v>
      </c>
      <c r="N370" t="str">
        <f>IF(SalesTbl[[#This Row],[Profit]]&gt;180,"High Profit","Low Profit")</f>
        <v>High Profit</v>
      </c>
      <c r="O370" t="str">
        <f>TEXT(SalesTbl[[#This Row],[Date]],"mmm")</f>
        <v>Apr</v>
      </c>
    </row>
    <row r="371" spans="1:15" x14ac:dyDescent="0.3">
      <c r="A371">
        <v>1370</v>
      </c>
      <c r="B371" t="s">
        <v>197</v>
      </c>
      <c r="C371" t="s">
        <v>21</v>
      </c>
      <c r="D371" t="s">
        <v>15</v>
      </c>
      <c r="E371" t="s">
        <v>41</v>
      </c>
      <c r="F371" t="s">
        <v>17</v>
      </c>
      <c r="G371">
        <v>4</v>
      </c>
      <c r="H371">
        <v>88</v>
      </c>
      <c r="I371">
        <v>352</v>
      </c>
      <c r="J371">
        <v>249</v>
      </c>
      <c r="K371">
        <v>103</v>
      </c>
      <c r="L371" t="s">
        <v>24</v>
      </c>
      <c r="M371" t="s">
        <v>19</v>
      </c>
      <c r="N371" t="str">
        <f>IF(SalesTbl[[#This Row],[Profit]]&gt;180,"High Profit","Low Profit")</f>
        <v>Low Profit</v>
      </c>
      <c r="O371" t="str">
        <f>TEXT(SalesTbl[[#This Row],[Date]],"mmm")</f>
        <v>Apr</v>
      </c>
    </row>
    <row r="372" spans="1:15" x14ac:dyDescent="0.3">
      <c r="A372">
        <v>1371</v>
      </c>
      <c r="B372" t="s">
        <v>79</v>
      </c>
      <c r="C372" t="s">
        <v>14</v>
      </c>
      <c r="D372" t="s">
        <v>35</v>
      </c>
      <c r="E372" t="s">
        <v>22</v>
      </c>
      <c r="F372" t="s">
        <v>23</v>
      </c>
      <c r="G372">
        <v>5</v>
      </c>
      <c r="H372">
        <v>948</v>
      </c>
      <c r="I372">
        <v>4740</v>
      </c>
      <c r="J372">
        <v>3033</v>
      </c>
      <c r="K372">
        <v>1707</v>
      </c>
      <c r="L372" t="s">
        <v>24</v>
      </c>
      <c r="M372" t="s">
        <v>19</v>
      </c>
      <c r="N372" t="str">
        <f>IF(SalesTbl[[#This Row],[Profit]]&gt;180,"High Profit","Low Profit")</f>
        <v>High Profit</v>
      </c>
      <c r="O372" t="str">
        <f>TEXT(SalesTbl[[#This Row],[Date]],"mmm")</f>
        <v>May</v>
      </c>
    </row>
    <row r="373" spans="1:15" x14ac:dyDescent="0.3">
      <c r="A373">
        <v>1372</v>
      </c>
      <c r="B373" t="s">
        <v>198</v>
      </c>
      <c r="C373" t="s">
        <v>14</v>
      </c>
      <c r="D373" t="s">
        <v>32</v>
      </c>
      <c r="E373" t="s">
        <v>16</v>
      </c>
      <c r="F373" t="s">
        <v>17</v>
      </c>
      <c r="G373">
        <v>1</v>
      </c>
      <c r="H373">
        <v>182</v>
      </c>
      <c r="I373">
        <v>182</v>
      </c>
      <c r="J373">
        <v>138</v>
      </c>
      <c r="K373">
        <v>44</v>
      </c>
      <c r="L373" t="s">
        <v>24</v>
      </c>
      <c r="M373" t="s">
        <v>19</v>
      </c>
      <c r="N373" t="str">
        <f>IF(SalesTbl[[#This Row],[Profit]]&gt;180,"High Profit","Low Profit")</f>
        <v>Low Profit</v>
      </c>
      <c r="O373" t="str">
        <f>TEXT(SalesTbl[[#This Row],[Date]],"mmm")</f>
        <v>May</v>
      </c>
    </row>
    <row r="374" spans="1:15" x14ac:dyDescent="0.3">
      <c r="A374">
        <v>1373</v>
      </c>
      <c r="B374" t="s">
        <v>193</v>
      </c>
      <c r="C374" t="s">
        <v>31</v>
      </c>
      <c r="D374" t="s">
        <v>32</v>
      </c>
      <c r="E374" t="s">
        <v>41</v>
      </c>
      <c r="F374" t="s">
        <v>17</v>
      </c>
      <c r="G374">
        <v>5</v>
      </c>
      <c r="H374">
        <v>60</v>
      </c>
      <c r="I374">
        <v>300</v>
      </c>
      <c r="J374">
        <v>186</v>
      </c>
      <c r="K374">
        <v>114</v>
      </c>
      <c r="L374" t="s">
        <v>38</v>
      </c>
      <c r="M374" t="s">
        <v>29</v>
      </c>
      <c r="N374" t="str">
        <f>IF(SalesTbl[[#This Row],[Profit]]&gt;180,"High Profit","Low Profit")</f>
        <v>Low Profit</v>
      </c>
      <c r="O374" t="str">
        <f>TEXT(SalesTbl[[#This Row],[Date]],"mmm")</f>
        <v>Apr</v>
      </c>
    </row>
    <row r="375" spans="1:15" x14ac:dyDescent="0.3">
      <c r="A375">
        <v>1374</v>
      </c>
      <c r="B375" t="s">
        <v>160</v>
      </c>
      <c r="C375" t="s">
        <v>31</v>
      </c>
      <c r="D375" t="s">
        <v>32</v>
      </c>
      <c r="E375" t="s">
        <v>22</v>
      </c>
      <c r="F375" t="s">
        <v>23</v>
      </c>
      <c r="G375">
        <v>10</v>
      </c>
      <c r="H375">
        <v>546</v>
      </c>
      <c r="I375">
        <v>5460</v>
      </c>
      <c r="J375">
        <v>3658</v>
      </c>
      <c r="K375">
        <v>1802</v>
      </c>
      <c r="L375" t="s">
        <v>33</v>
      </c>
      <c r="M375" t="s">
        <v>19</v>
      </c>
      <c r="N375" t="str">
        <f>IF(SalesTbl[[#This Row],[Profit]]&gt;180,"High Profit","Low Profit")</f>
        <v>High Profit</v>
      </c>
      <c r="O375" t="str">
        <f>TEXT(SalesTbl[[#This Row],[Date]],"mmm")</f>
        <v>Jan</v>
      </c>
    </row>
    <row r="376" spans="1:15" x14ac:dyDescent="0.3">
      <c r="A376">
        <v>1375</v>
      </c>
      <c r="B376" t="s">
        <v>119</v>
      </c>
      <c r="C376" t="s">
        <v>31</v>
      </c>
      <c r="D376" t="s">
        <v>32</v>
      </c>
      <c r="E376" t="s">
        <v>16</v>
      </c>
      <c r="F376" t="s">
        <v>17</v>
      </c>
      <c r="G376">
        <v>8</v>
      </c>
      <c r="H376">
        <v>506</v>
      </c>
      <c r="I376">
        <v>4048</v>
      </c>
      <c r="J376">
        <v>3238</v>
      </c>
      <c r="K376">
        <v>810</v>
      </c>
      <c r="L376" t="s">
        <v>28</v>
      </c>
      <c r="M376" t="s">
        <v>19</v>
      </c>
      <c r="N376" t="str">
        <f>IF(SalesTbl[[#This Row],[Profit]]&gt;180,"High Profit","Low Profit")</f>
        <v>High Profit</v>
      </c>
      <c r="O376" t="str">
        <f>TEXT(SalesTbl[[#This Row],[Date]],"mmm")</f>
        <v>Mar</v>
      </c>
    </row>
    <row r="377" spans="1:15" x14ac:dyDescent="0.3">
      <c r="A377">
        <v>1376</v>
      </c>
      <c r="B377" t="s">
        <v>112</v>
      </c>
      <c r="C377" t="s">
        <v>21</v>
      </c>
      <c r="D377" t="s">
        <v>26</v>
      </c>
      <c r="E377" t="s">
        <v>22</v>
      </c>
      <c r="F377" t="s">
        <v>23</v>
      </c>
      <c r="G377">
        <v>10</v>
      </c>
      <c r="H377">
        <v>345</v>
      </c>
      <c r="I377">
        <v>3450</v>
      </c>
      <c r="J377">
        <v>2518</v>
      </c>
      <c r="K377">
        <v>932</v>
      </c>
      <c r="L377" t="s">
        <v>33</v>
      </c>
      <c r="M377" t="s">
        <v>29</v>
      </c>
      <c r="N377" t="str">
        <f>IF(SalesTbl[[#This Row],[Profit]]&gt;180,"High Profit","Low Profit")</f>
        <v>High Profit</v>
      </c>
      <c r="O377" t="str">
        <f>TEXT(SalesTbl[[#This Row],[Date]],"mmm")</f>
        <v>Jun</v>
      </c>
    </row>
    <row r="378" spans="1:15" x14ac:dyDescent="0.3">
      <c r="A378">
        <v>1377</v>
      </c>
      <c r="B378" t="s">
        <v>199</v>
      </c>
      <c r="C378" t="s">
        <v>31</v>
      </c>
      <c r="D378" t="s">
        <v>35</v>
      </c>
      <c r="E378" t="s">
        <v>54</v>
      </c>
      <c r="F378" t="s">
        <v>17</v>
      </c>
      <c r="G378">
        <v>3</v>
      </c>
      <c r="H378">
        <v>154</v>
      </c>
      <c r="I378">
        <v>462</v>
      </c>
      <c r="J378">
        <v>337</v>
      </c>
      <c r="K378">
        <v>125</v>
      </c>
      <c r="L378" t="s">
        <v>33</v>
      </c>
      <c r="M378" t="s">
        <v>29</v>
      </c>
      <c r="N378" t="str">
        <f>IF(SalesTbl[[#This Row],[Profit]]&gt;180,"High Profit","Low Profit")</f>
        <v>Low Profit</v>
      </c>
      <c r="O378" t="str">
        <f>TEXT(SalesTbl[[#This Row],[Date]],"mmm")</f>
        <v>Apr</v>
      </c>
    </row>
    <row r="379" spans="1:15" x14ac:dyDescent="0.3">
      <c r="A379">
        <v>1378</v>
      </c>
      <c r="B379" t="s">
        <v>158</v>
      </c>
      <c r="C379" t="s">
        <v>31</v>
      </c>
      <c r="D379" t="s">
        <v>32</v>
      </c>
      <c r="E379" t="s">
        <v>41</v>
      </c>
      <c r="F379" t="s">
        <v>17</v>
      </c>
      <c r="G379">
        <v>8</v>
      </c>
      <c r="H379">
        <v>332</v>
      </c>
      <c r="I379">
        <v>2656</v>
      </c>
      <c r="J379">
        <v>2018</v>
      </c>
      <c r="K379">
        <v>638</v>
      </c>
      <c r="L379" t="s">
        <v>28</v>
      </c>
      <c r="M379" t="s">
        <v>19</v>
      </c>
      <c r="N379" t="str">
        <f>IF(SalesTbl[[#This Row],[Profit]]&gt;180,"High Profit","Low Profit")</f>
        <v>High Profit</v>
      </c>
      <c r="O379" t="str">
        <f>TEXT(SalesTbl[[#This Row],[Date]],"mmm")</f>
        <v>Feb</v>
      </c>
    </row>
    <row r="380" spans="1:15" x14ac:dyDescent="0.3">
      <c r="A380">
        <v>1212</v>
      </c>
      <c r="B380" t="s">
        <v>155</v>
      </c>
      <c r="C380" t="s">
        <v>40</v>
      </c>
      <c r="D380" t="s">
        <v>32</v>
      </c>
      <c r="E380" t="s">
        <v>27</v>
      </c>
      <c r="F380" t="s">
        <v>17</v>
      </c>
      <c r="G380">
        <v>5</v>
      </c>
      <c r="H380">
        <v>677</v>
      </c>
      <c r="I380">
        <v>3385</v>
      </c>
      <c r="J380">
        <v>2572</v>
      </c>
      <c r="K380">
        <v>813</v>
      </c>
      <c r="L380" t="s">
        <v>18</v>
      </c>
      <c r="M380" t="s">
        <v>19</v>
      </c>
      <c r="N380" t="str">
        <f>IF(SalesTbl[[#This Row],[Profit]]&gt;180,"High Profit","Low Profit")</f>
        <v>High Profit</v>
      </c>
      <c r="O380" t="str">
        <f>TEXT(SalesTbl[[#This Row],[Date]],"mmm")</f>
        <v>Mar</v>
      </c>
    </row>
    <row r="381" spans="1:15" x14ac:dyDescent="0.3">
      <c r="A381">
        <v>1380</v>
      </c>
      <c r="B381" t="s">
        <v>200</v>
      </c>
      <c r="C381" t="s">
        <v>31</v>
      </c>
      <c r="D381" t="s">
        <v>26</v>
      </c>
      <c r="E381" t="s">
        <v>41</v>
      </c>
      <c r="F381" t="s">
        <v>17</v>
      </c>
      <c r="G381">
        <v>8</v>
      </c>
      <c r="H381">
        <v>537</v>
      </c>
      <c r="I381">
        <v>4296</v>
      </c>
      <c r="J381">
        <v>3393</v>
      </c>
      <c r="K381">
        <v>903</v>
      </c>
      <c r="L381" t="s">
        <v>24</v>
      </c>
      <c r="M381" t="s">
        <v>29</v>
      </c>
      <c r="N381" t="str">
        <f>IF(SalesTbl[[#This Row],[Profit]]&gt;180,"High Profit","Low Profit")</f>
        <v>High Profit</v>
      </c>
      <c r="O381" t="str">
        <f>TEXT(SalesTbl[[#This Row],[Date]],"mmm")</f>
        <v>Mar</v>
      </c>
    </row>
    <row r="382" spans="1:15" x14ac:dyDescent="0.3">
      <c r="A382">
        <v>1381</v>
      </c>
      <c r="B382" t="s">
        <v>50</v>
      </c>
      <c r="C382" t="s">
        <v>14</v>
      </c>
      <c r="D382" t="s">
        <v>15</v>
      </c>
      <c r="E382" t="s">
        <v>48</v>
      </c>
      <c r="F382" t="s">
        <v>23</v>
      </c>
      <c r="G382">
        <v>10</v>
      </c>
      <c r="H382">
        <v>757</v>
      </c>
      <c r="I382">
        <v>7570</v>
      </c>
      <c r="J382">
        <v>4844</v>
      </c>
      <c r="K382">
        <v>2726</v>
      </c>
      <c r="L382" t="s">
        <v>33</v>
      </c>
      <c r="M382" t="s">
        <v>29</v>
      </c>
      <c r="N382" t="str">
        <f>IF(SalesTbl[[#This Row],[Profit]]&gt;180,"High Profit","Low Profit")</f>
        <v>High Profit</v>
      </c>
      <c r="O382" t="str">
        <f>TEXT(SalesTbl[[#This Row],[Date]],"mmm")</f>
        <v>Jun</v>
      </c>
    </row>
    <row r="383" spans="1:15" x14ac:dyDescent="0.3">
      <c r="A383">
        <v>1382</v>
      </c>
      <c r="B383" t="s">
        <v>80</v>
      </c>
      <c r="C383" t="s">
        <v>21</v>
      </c>
      <c r="D383" t="s">
        <v>26</v>
      </c>
      <c r="E383" t="s">
        <v>16</v>
      </c>
      <c r="F383" t="s">
        <v>17</v>
      </c>
      <c r="G383">
        <v>2</v>
      </c>
      <c r="H383">
        <v>55</v>
      </c>
      <c r="I383">
        <v>110</v>
      </c>
      <c r="J383">
        <v>83</v>
      </c>
      <c r="K383">
        <v>27</v>
      </c>
      <c r="L383" t="s">
        <v>33</v>
      </c>
      <c r="M383" t="s">
        <v>19</v>
      </c>
      <c r="N383" t="str">
        <f>IF(SalesTbl[[#This Row],[Profit]]&gt;180,"High Profit","Low Profit")</f>
        <v>Low Profit</v>
      </c>
      <c r="O383" t="str">
        <f>TEXT(SalesTbl[[#This Row],[Date]],"mmm")</f>
        <v>Apr</v>
      </c>
    </row>
    <row r="384" spans="1:15" x14ac:dyDescent="0.3">
      <c r="A384">
        <v>1383</v>
      </c>
      <c r="B384" t="s">
        <v>180</v>
      </c>
      <c r="C384" t="s">
        <v>14</v>
      </c>
      <c r="D384" t="s">
        <v>15</v>
      </c>
      <c r="E384" t="s">
        <v>48</v>
      </c>
      <c r="F384" t="s">
        <v>23</v>
      </c>
      <c r="G384">
        <v>6</v>
      </c>
      <c r="H384">
        <v>405</v>
      </c>
      <c r="I384">
        <v>2430</v>
      </c>
      <c r="J384">
        <v>1749</v>
      </c>
      <c r="K384">
        <v>681</v>
      </c>
      <c r="L384" t="s">
        <v>33</v>
      </c>
      <c r="M384" t="s">
        <v>19</v>
      </c>
      <c r="N384" t="str">
        <f>IF(SalesTbl[[#This Row],[Profit]]&gt;180,"High Profit","Low Profit")</f>
        <v>High Profit</v>
      </c>
      <c r="O384" t="str">
        <f>TEXT(SalesTbl[[#This Row],[Date]],"mmm")</f>
        <v>Feb</v>
      </c>
    </row>
    <row r="385" spans="1:15" x14ac:dyDescent="0.3">
      <c r="A385">
        <v>1384</v>
      </c>
      <c r="B385" t="s">
        <v>150</v>
      </c>
      <c r="C385" t="s">
        <v>31</v>
      </c>
      <c r="D385" t="s">
        <v>35</v>
      </c>
      <c r="E385" t="s">
        <v>27</v>
      </c>
      <c r="F385" t="s">
        <v>17</v>
      </c>
      <c r="G385">
        <v>8</v>
      </c>
      <c r="H385">
        <v>992</v>
      </c>
      <c r="I385">
        <v>7936</v>
      </c>
      <c r="J385">
        <v>4840</v>
      </c>
      <c r="K385">
        <v>3096</v>
      </c>
      <c r="L385" t="s">
        <v>28</v>
      </c>
      <c r="M385" t="s">
        <v>19</v>
      </c>
      <c r="N385" t="str">
        <f>IF(SalesTbl[[#This Row],[Profit]]&gt;180,"High Profit","Low Profit")</f>
        <v>High Profit</v>
      </c>
      <c r="O385" t="str">
        <f>TEXT(SalesTbl[[#This Row],[Date]],"mmm")</f>
        <v>Jun</v>
      </c>
    </row>
    <row r="386" spans="1:15" x14ac:dyDescent="0.3">
      <c r="A386">
        <v>1385</v>
      </c>
      <c r="B386" t="s">
        <v>86</v>
      </c>
      <c r="C386" t="s">
        <v>31</v>
      </c>
      <c r="D386" t="s">
        <v>35</v>
      </c>
      <c r="E386" t="s">
        <v>48</v>
      </c>
      <c r="F386" t="s">
        <v>23</v>
      </c>
      <c r="G386">
        <v>5</v>
      </c>
      <c r="H386">
        <v>732</v>
      </c>
      <c r="I386">
        <v>3660</v>
      </c>
      <c r="J386">
        <v>2745</v>
      </c>
      <c r="K386">
        <v>915</v>
      </c>
      <c r="L386" t="s">
        <v>33</v>
      </c>
      <c r="M386" t="s">
        <v>19</v>
      </c>
      <c r="N386" t="str">
        <f>IF(SalesTbl[[#This Row],[Profit]]&gt;180,"High Profit","Low Profit")</f>
        <v>High Profit</v>
      </c>
      <c r="O386" t="str">
        <f>TEXT(SalesTbl[[#This Row],[Date]],"mmm")</f>
        <v>Apr</v>
      </c>
    </row>
    <row r="387" spans="1:15" x14ac:dyDescent="0.3">
      <c r="A387">
        <v>1386</v>
      </c>
      <c r="B387" t="s">
        <v>125</v>
      </c>
      <c r="C387" t="s">
        <v>14</v>
      </c>
      <c r="D387" t="s">
        <v>32</v>
      </c>
      <c r="E387" t="s">
        <v>41</v>
      </c>
      <c r="F387" t="s">
        <v>17</v>
      </c>
      <c r="G387">
        <v>7</v>
      </c>
      <c r="H387">
        <v>131</v>
      </c>
      <c r="I387">
        <v>917</v>
      </c>
      <c r="J387">
        <v>641</v>
      </c>
      <c r="K387">
        <v>276</v>
      </c>
      <c r="L387" t="s">
        <v>33</v>
      </c>
      <c r="M387" t="s">
        <v>19</v>
      </c>
      <c r="N387" t="str">
        <f>IF(SalesTbl[[#This Row],[Profit]]&gt;180,"High Profit","Low Profit")</f>
        <v>High Profit</v>
      </c>
      <c r="O387" t="str">
        <f>TEXT(SalesTbl[[#This Row],[Date]],"mmm")</f>
        <v>Jun</v>
      </c>
    </row>
    <row r="388" spans="1:15" x14ac:dyDescent="0.3">
      <c r="A388">
        <v>1387</v>
      </c>
      <c r="B388" t="s">
        <v>64</v>
      </c>
      <c r="C388" t="s">
        <v>14</v>
      </c>
      <c r="D388" t="s">
        <v>32</v>
      </c>
      <c r="E388" t="s">
        <v>16</v>
      </c>
      <c r="F388" t="s">
        <v>17</v>
      </c>
      <c r="G388">
        <v>10</v>
      </c>
      <c r="H388">
        <v>65</v>
      </c>
      <c r="I388">
        <v>650</v>
      </c>
      <c r="J388">
        <v>461</v>
      </c>
      <c r="K388">
        <v>189</v>
      </c>
      <c r="L388" t="s">
        <v>24</v>
      </c>
      <c r="M388" t="s">
        <v>29</v>
      </c>
      <c r="N388" t="str">
        <f>IF(SalesTbl[[#This Row],[Profit]]&gt;180,"High Profit","Low Profit")</f>
        <v>High Profit</v>
      </c>
      <c r="O388" t="str">
        <f>TEXT(SalesTbl[[#This Row],[Date]],"mmm")</f>
        <v>Jan</v>
      </c>
    </row>
    <row r="389" spans="1:15" x14ac:dyDescent="0.3">
      <c r="A389">
        <v>1388</v>
      </c>
      <c r="B389" t="s">
        <v>139</v>
      </c>
      <c r="C389" t="s">
        <v>14</v>
      </c>
      <c r="D389" t="s">
        <v>15</v>
      </c>
      <c r="E389" t="s">
        <v>27</v>
      </c>
      <c r="F389" t="s">
        <v>17</v>
      </c>
      <c r="G389">
        <v>6</v>
      </c>
      <c r="H389">
        <v>423</v>
      </c>
      <c r="I389">
        <v>2538</v>
      </c>
      <c r="J389">
        <v>2030</v>
      </c>
      <c r="K389">
        <v>508</v>
      </c>
      <c r="L389" t="s">
        <v>28</v>
      </c>
      <c r="M389" t="s">
        <v>19</v>
      </c>
      <c r="N389" t="str">
        <f>IF(SalesTbl[[#This Row],[Profit]]&gt;180,"High Profit","Low Profit")</f>
        <v>High Profit</v>
      </c>
      <c r="O389" t="str">
        <f>TEXT(SalesTbl[[#This Row],[Date]],"mmm")</f>
        <v>Jun</v>
      </c>
    </row>
    <row r="390" spans="1:15" x14ac:dyDescent="0.3">
      <c r="A390">
        <v>1389</v>
      </c>
      <c r="B390" t="s">
        <v>118</v>
      </c>
      <c r="C390" t="s">
        <v>14</v>
      </c>
      <c r="D390" t="s">
        <v>35</v>
      </c>
      <c r="E390" t="s">
        <v>22</v>
      </c>
      <c r="F390" t="s">
        <v>23</v>
      </c>
      <c r="G390">
        <v>3</v>
      </c>
      <c r="H390">
        <v>765</v>
      </c>
      <c r="I390">
        <v>2295</v>
      </c>
      <c r="J390">
        <v>1675</v>
      </c>
      <c r="K390">
        <v>620</v>
      </c>
      <c r="L390" t="s">
        <v>28</v>
      </c>
      <c r="M390" t="s">
        <v>29</v>
      </c>
      <c r="N390" t="str">
        <f>IF(SalesTbl[[#This Row],[Profit]]&gt;180,"High Profit","Low Profit")</f>
        <v>High Profit</v>
      </c>
      <c r="O390" t="str">
        <f>TEXT(SalesTbl[[#This Row],[Date]],"mmm")</f>
        <v>Jun</v>
      </c>
    </row>
    <row r="391" spans="1:15" x14ac:dyDescent="0.3">
      <c r="A391">
        <v>1390</v>
      </c>
      <c r="B391" t="s">
        <v>30</v>
      </c>
      <c r="C391" t="s">
        <v>21</v>
      </c>
      <c r="D391" t="s">
        <v>26</v>
      </c>
      <c r="E391" t="s">
        <v>48</v>
      </c>
      <c r="F391" t="s">
        <v>23</v>
      </c>
      <c r="G391">
        <v>2</v>
      </c>
      <c r="H391">
        <v>612</v>
      </c>
      <c r="I391">
        <v>1224</v>
      </c>
      <c r="J391">
        <v>918</v>
      </c>
      <c r="K391">
        <v>306</v>
      </c>
      <c r="L391" t="s">
        <v>33</v>
      </c>
      <c r="M391" t="s">
        <v>29</v>
      </c>
      <c r="N391" t="str">
        <f>IF(SalesTbl[[#This Row],[Profit]]&gt;180,"High Profit","Low Profit")</f>
        <v>High Profit</v>
      </c>
      <c r="O391" t="str">
        <f>TEXT(SalesTbl[[#This Row],[Date]],"mmm")</f>
        <v>Feb</v>
      </c>
    </row>
    <row r="392" spans="1:15" x14ac:dyDescent="0.3">
      <c r="A392">
        <v>1391</v>
      </c>
      <c r="B392" t="s">
        <v>187</v>
      </c>
      <c r="C392" t="s">
        <v>14</v>
      </c>
      <c r="D392" t="s">
        <v>15</v>
      </c>
      <c r="E392" t="s">
        <v>54</v>
      </c>
      <c r="F392" t="s">
        <v>17</v>
      </c>
      <c r="G392">
        <v>6</v>
      </c>
      <c r="H392">
        <v>395</v>
      </c>
      <c r="I392">
        <v>2370</v>
      </c>
      <c r="J392">
        <v>1824</v>
      </c>
      <c r="K392">
        <v>546</v>
      </c>
      <c r="L392" t="s">
        <v>28</v>
      </c>
      <c r="M392" t="s">
        <v>29</v>
      </c>
      <c r="N392" t="str">
        <f>IF(SalesTbl[[#This Row],[Profit]]&gt;180,"High Profit","Low Profit")</f>
        <v>High Profit</v>
      </c>
      <c r="O392" t="str">
        <f>TEXT(SalesTbl[[#This Row],[Date]],"mmm")</f>
        <v>Jun</v>
      </c>
    </row>
    <row r="393" spans="1:15" x14ac:dyDescent="0.3">
      <c r="A393">
        <v>1392</v>
      </c>
      <c r="B393" t="s">
        <v>65</v>
      </c>
      <c r="C393" t="s">
        <v>14</v>
      </c>
      <c r="D393" t="s">
        <v>32</v>
      </c>
      <c r="E393" t="s">
        <v>48</v>
      </c>
      <c r="F393" t="s">
        <v>23</v>
      </c>
      <c r="G393">
        <v>5</v>
      </c>
      <c r="H393">
        <v>526</v>
      </c>
      <c r="I393">
        <v>2630</v>
      </c>
      <c r="J393">
        <v>1735</v>
      </c>
      <c r="K393">
        <v>895</v>
      </c>
      <c r="L393" t="s">
        <v>28</v>
      </c>
      <c r="M393" t="s">
        <v>29</v>
      </c>
      <c r="N393" t="str">
        <f>IF(SalesTbl[[#This Row],[Profit]]&gt;180,"High Profit","Low Profit")</f>
        <v>High Profit</v>
      </c>
      <c r="O393" t="str">
        <f>TEXT(SalesTbl[[#This Row],[Date]],"mmm")</f>
        <v>May</v>
      </c>
    </row>
    <row r="394" spans="1:15" x14ac:dyDescent="0.3">
      <c r="A394">
        <v>1240</v>
      </c>
      <c r="B394" t="s">
        <v>164</v>
      </c>
      <c r="C394" t="s">
        <v>40</v>
      </c>
      <c r="D394" t="s">
        <v>26</v>
      </c>
      <c r="E394" t="s">
        <v>54</v>
      </c>
      <c r="F394" t="s">
        <v>17</v>
      </c>
      <c r="G394">
        <v>9</v>
      </c>
      <c r="H394">
        <v>256</v>
      </c>
      <c r="I394">
        <v>2304</v>
      </c>
      <c r="J394">
        <v>1497</v>
      </c>
      <c r="K394">
        <v>807</v>
      </c>
      <c r="L394" t="s">
        <v>18</v>
      </c>
      <c r="M394" t="s">
        <v>29</v>
      </c>
      <c r="N394" t="str">
        <f>IF(SalesTbl[[#This Row],[Profit]]&gt;180,"High Profit","Low Profit")</f>
        <v>High Profit</v>
      </c>
      <c r="O394" t="str">
        <f>TEXT(SalesTbl[[#This Row],[Date]],"mmm")</f>
        <v>May</v>
      </c>
    </row>
    <row r="395" spans="1:15" x14ac:dyDescent="0.3">
      <c r="A395">
        <v>1915</v>
      </c>
      <c r="B395" t="s">
        <v>132</v>
      </c>
      <c r="C395" t="s">
        <v>40</v>
      </c>
      <c r="D395" t="s">
        <v>26</v>
      </c>
      <c r="E395" t="s">
        <v>27</v>
      </c>
      <c r="F395" t="s">
        <v>17</v>
      </c>
      <c r="G395">
        <v>3</v>
      </c>
      <c r="H395">
        <v>744</v>
      </c>
      <c r="I395">
        <v>2232</v>
      </c>
      <c r="J395">
        <v>1428</v>
      </c>
      <c r="K395">
        <v>804</v>
      </c>
      <c r="L395" t="s">
        <v>18</v>
      </c>
      <c r="M395" t="s">
        <v>19</v>
      </c>
      <c r="N395" t="str">
        <f>IF(SalesTbl[[#This Row],[Profit]]&gt;180,"High Profit","Low Profit")</f>
        <v>High Profit</v>
      </c>
      <c r="O395" t="str">
        <f>TEXT(SalesTbl[[#This Row],[Date]],"mmm")</f>
        <v>Jan</v>
      </c>
    </row>
    <row r="396" spans="1:15" x14ac:dyDescent="0.3">
      <c r="A396">
        <v>1395</v>
      </c>
      <c r="B396" t="s">
        <v>101</v>
      </c>
      <c r="C396" t="s">
        <v>14</v>
      </c>
      <c r="D396" t="s">
        <v>35</v>
      </c>
      <c r="E396" t="s">
        <v>16</v>
      </c>
      <c r="F396" t="s">
        <v>17</v>
      </c>
      <c r="G396">
        <v>5</v>
      </c>
      <c r="H396">
        <v>53</v>
      </c>
      <c r="I396">
        <v>265</v>
      </c>
      <c r="J396">
        <v>177</v>
      </c>
      <c r="K396">
        <v>88</v>
      </c>
      <c r="L396" t="s">
        <v>38</v>
      </c>
      <c r="M396" t="s">
        <v>19</v>
      </c>
      <c r="N396" t="str">
        <f>IF(SalesTbl[[#This Row],[Profit]]&gt;180,"High Profit","Low Profit")</f>
        <v>Low Profit</v>
      </c>
      <c r="O396" t="str">
        <f>TEXT(SalesTbl[[#This Row],[Date]],"mmm")</f>
        <v>Feb</v>
      </c>
    </row>
    <row r="397" spans="1:15" x14ac:dyDescent="0.3">
      <c r="A397">
        <v>1828</v>
      </c>
      <c r="B397" t="s">
        <v>98</v>
      </c>
      <c r="C397" t="s">
        <v>40</v>
      </c>
      <c r="D397" t="s">
        <v>15</v>
      </c>
      <c r="E397" t="s">
        <v>27</v>
      </c>
      <c r="F397" t="s">
        <v>17</v>
      </c>
      <c r="G397">
        <v>5</v>
      </c>
      <c r="H397">
        <v>587</v>
      </c>
      <c r="I397">
        <v>2935</v>
      </c>
      <c r="J397">
        <v>2142</v>
      </c>
      <c r="K397">
        <v>793</v>
      </c>
      <c r="L397" t="s">
        <v>38</v>
      </c>
      <c r="M397" t="s">
        <v>29</v>
      </c>
      <c r="N397" t="str">
        <f>IF(SalesTbl[[#This Row],[Profit]]&gt;180,"High Profit","Low Profit")</f>
        <v>High Profit</v>
      </c>
      <c r="O397" t="str">
        <f>TEXT(SalesTbl[[#This Row],[Date]],"mmm")</f>
        <v>May</v>
      </c>
    </row>
    <row r="398" spans="1:15" x14ac:dyDescent="0.3">
      <c r="A398">
        <v>1397</v>
      </c>
      <c r="B398" t="s">
        <v>152</v>
      </c>
      <c r="C398" t="s">
        <v>14</v>
      </c>
      <c r="D398" t="s">
        <v>26</v>
      </c>
      <c r="E398" t="s">
        <v>22</v>
      </c>
      <c r="F398" t="s">
        <v>23</v>
      </c>
      <c r="G398">
        <v>5</v>
      </c>
      <c r="H398">
        <v>734</v>
      </c>
      <c r="I398">
        <v>3670</v>
      </c>
      <c r="J398">
        <v>2385</v>
      </c>
      <c r="K398">
        <v>1285</v>
      </c>
      <c r="L398" t="s">
        <v>38</v>
      </c>
      <c r="M398" t="s">
        <v>29</v>
      </c>
      <c r="N398" t="str">
        <f>IF(SalesTbl[[#This Row],[Profit]]&gt;180,"High Profit","Low Profit")</f>
        <v>High Profit</v>
      </c>
      <c r="O398" t="str">
        <f>TEXT(SalesTbl[[#This Row],[Date]],"mmm")</f>
        <v>Apr</v>
      </c>
    </row>
    <row r="399" spans="1:15" x14ac:dyDescent="0.3">
      <c r="A399">
        <v>1398</v>
      </c>
      <c r="B399" t="s">
        <v>197</v>
      </c>
      <c r="C399" t="s">
        <v>21</v>
      </c>
      <c r="D399" t="s">
        <v>35</v>
      </c>
      <c r="E399" t="s">
        <v>27</v>
      </c>
      <c r="F399" t="s">
        <v>17</v>
      </c>
      <c r="G399">
        <v>1</v>
      </c>
      <c r="H399">
        <v>786</v>
      </c>
      <c r="I399">
        <v>786</v>
      </c>
      <c r="J399">
        <v>503</v>
      </c>
      <c r="K399">
        <v>283</v>
      </c>
      <c r="L399" t="s">
        <v>38</v>
      </c>
      <c r="M399" t="s">
        <v>29</v>
      </c>
      <c r="N399" t="str">
        <f>IF(SalesTbl[[#This Row],[Profit]]&gt;180,"High Profit","Low Profit")</f>
        <v>High Profit</v>
      </c>
      <c r="O399" t="str">
        <f>TEXT(SalesTbl[[#This Row],[Date]],"mmm")</f>
        <v>Apr</v>
      </c>
    </row>
    <row r="400" spans="1:15" x14ac:dyDescent="0.3">
      <c r="A400">
        <v>1399</v>
      </c>
      <c r="B400" t="s">
        <v>199</v>
      </c>
      <c r="C400" t="s">
        <v>31</v>
      </c>
      <c r="D400" t="s">
        <v>35</v>
      </c>
      <c r="E400" t="s">
        <v>41</v>
      </c>
      <c r="F400" t="s">
        <v>17</v>
      </c>
      <c r="G400">
        <v>1</v>
      </c>
      <c r="H400">
        <v>868</v>
      </c>
      <c r="I400">
        <v>868</v>
      </c>
      <c r="J400">
        <v>555</v>
      </c>
      <c r="K400">
        <v>313</v>
      </c>
      <c r="L400" t="s">
        <v>38</v>
      </c>
      <c r="M400" t="s">
        <v>19</v>
      </c>
      <c r="N400" t="str">
        <f>IF(SalesTbl[[#This Row],[Profit]]&gt;180,"High Profit","Low Profit")</f>
        <v>High Profit</v>
      </c>
      <c r="O400" t="str">
        <f>TEXT(SalesTbl[[#This Row],[Date]],"mmm")</f>
        <v>Apr</v>
      </c>
    </row>
    <row r="401" spans="1:15" x14ac:dyDescent="0.3">
      <c r="A401">
        <v>1400</v>
      </c>
      <c r="B401" t="s">
        <v>201</v>
      </c>
      <c r="C401" t="s">
        <v>21</v>
      </c>
      <c r="D401" t="s">
        <v>26</v>
      </c>
      <c r="E401" t="s">
        <v>22</v>
      </c>
      <c r="F401" t="s">
        <v>23</v>
      </c>
      <c r="G401">
        <v>8</v>
      </c>
      <c r="H401">
        <v>335</v>
      </c>
      <c r="I401">
        <v>2680</v>
      </c>
      <c r="J401">
        <v>2063</v>
      </c>
      <c r="K401">
        <v>617</v>
      </c>
      <c r="L401" t="s">
        <v>28</v>
      </c>
      <c r="M401" t="s">
        <v>19</v>
      </c>
      <c r="N401" t="str">
        <f>IF(SalesTbl[[#This Row],[Profit]]&gt;180,"High Profit","Low Profit")</f>
        <v>High Profit</v>
      </c>
      <c r="O401" t="str">
        <f>TEXT(SalesTbl[[#This Row],[Date]],"mmm")</f>
        <v>Jan</v>
      </c>
    </row>
    <row r="402" spans="1:15" x14ac:dyDescent="0.3">
      <c r="A402">
        <v>1401</v>
      </c>
      <c r="B402" t="s">
        <v>104</v>
      </c>
      <c r="C402" t="s">
        <v>40</v>
      </c>
      <c r="D402" t="s">
        <v>15</v>
      </c>
      <c r="E402" t="s">
        <v>48</v>
      </c>
      <c r="F402" t="s">
        <v>23</v>
      </c>
      <c r="G402">
        <v>2</v>
      </c>
      <c r="H402">
        <v>311</v>
      </c>
      <c r="I402">
        <v>622</v>
      </c>
      <c r="J402">
        <v>391</v>
      </c>
      <c r="K402">
        <v>231</v>
      </c>
      <c r="L402" t="s">
        <v>38</v>
      </c>
      <c r="M402" t="s">
        <v>29</v>
      </c>
      <c r="N402" t="str">
        <f>IF(SalesTbl[[#This Row],[Profit]]&gt;180,"High Profit","Low Profit")</f>
        <v>High Profit</v>
      </c>
      <c r="O402" t="str">
        <f>TEXT(SalesTbl[[#This Row],[Date]],"mmm")</f>
        <v>Jan</v>
      </c>
    </row>
    <row r="403" spans="1:15" x14ac:dyDescent="0.3">
      <c r="A403">
        <v>1402</v>
      </c>
      <c r="B403" t="s">
        <v>202</v>
      </c>
      <c r="C403" t="s">
        <v>14</v>
      </c>
      <c r="D403" t="s">
        <v>15</v>
      </c>
      <c r="E403" t="s">
        <v>27</v>
      </c>
      <c r="F403" t="s">
        <v>17</v>
      </c>
      <c r="G403">
        <v>7</v>
      </c>
      <c r="H403">
        <v>582</v>
      </c>
      <c r="I403">
        <v>4074</v>
      </c>
      <c r="J403">
        <v>3055</v>
      </c>
      <c r="K403">
        <v>1019</v>
      </c>
      <c r="L403" t="s">
        <v>28</v>
      </c>
      <c r="M403" t="s">
        <v>29</v>
      </c>
      <c r="N403" t="str">
        <f>IF(SalesTbl[[#This Row],[Profit]]&gt;180,"High Profit","Low Profit")</f>
        <v>High Profit</v>
      </c>
      <c r="O403" t="str">
        <f>TEXT(SalesTbl[[#This Row],[Date]],"mmm")</f>
        <v>Feb</v>
      </c>
    </row>
    <row r="404" spans="1:15" x14ac:dyDescent="0.3">
      <c r="A404">
        <v>1403</v>
      </c>
      <c r="B404" t="s">
        <v>159</v>
      </c>
      <c r="C404" t="s">
        <v>14</v>
      </c>
      <c r="D404" t="s">
        <v>15</v>
      </c>
      <c r="E404" t="s">
        <v>48</v>
      </c>
      <c r="F404" t="s">
        <v>23</v>
      </c>
      <c r="G404">
        <v>8</v>
      </c>
      <c r="H404">
        <v>465</v>
      </c>
      <c r="I404">
        <v>3720</v>
      </c>
      <c r="J404">
        <v>2604</v>
      </c>
      <c r="K404">
        <v>1116</v>
      </c>
      <c r="L404" t="s">
        <v>18</v>
      </c>
      <c r="M404" t="s">
        <v>19</v>
      </c>
      <c r="N404" t="str">
        <f>IF(SalesTbl[[#This Row],[Profit]]&gt;180,"High Profit","Low Profit")</f>
        <v>High Profit</v>
      </c>
      <c r="O404" t="str">
        <f>TEXT(SalesTbl[[#This Row],[Date]],"mmm")</f>
        <v>Apr</v>
      </c>
    </row>
    <row r="405" spans="1:15" x14ac:dyDescent="0.3">
      <c r="A405">
        <v>1404</v>
      </c>
      <c r="B405" t="s">
        <v>88</v>
      </c>
      <c r="C405" t="s">
        <v>14</v>
      </c>
      <c r="D405" t="s">
        <v>35</v>
      </c>
      <c r="E405" t="s">
        <v>27</v>
      </c>
      <c r="F405" t="s">
        <v>17</v>
      </c>
      <c r="G405">
        <v>1</v>
      </c>
      <c r="H405">
        <v>730</v>
      </c>
      <c r="I405">
        <v>730</v>
      </c>
      <c r="J405">
        <v>569</v>
      </c>
      <c r="K405">
        <v>161</v>
      </c>
      <c r="L405" t="s">
        <v>24</v>
      </c>
      <c r="M405" t="s">
        <v>19</v>
      </c>
      <c r="N405" t="str">
        <f>IF(SalesTbl[[#This Row],[Profit]]&gt;180,"High Profit","Low Profit")</f>
        <v>Low Profit</v>
      </c>
      <c r="O405" t="str">
        <f>TEXT(SalesTbl[[#This Row],[Date]],"mmm")</f>
        <v>Feb</v>
      </c>
    </row>
    <row r="406" spans="1:15" x14ac:dyDescent="0.3">
      <c r="A406">
        <v>1405</v>
      </c>
      <c r="B406" t="s">
        <v>161</v>
      </c>
      <c r="C406" t="s">
        <v>31</v>
      </c>
      <c r="D406" t="s">
        <v>35</v>
      </c>
      <c r="E406" t="s">
        <v>16</v>
      </c>
      <c r="F406" t="s">
        <v>17</v>
      </c>
      <c r="G406">
        <v>3</v>
      </c>
      <c r="H406">
        <v>779</v>
      </c>
      <c r="I406">
        <v>2337</v>
      </c>
      <c r="J406">
        <v>1472</v>
      </c>
      <c r="K406">
        <v>865</v>
      </c>
      <c r="L406" t="s">
        <v>24</v>
      </c>
      <c r="M406" t="s">
        <v>19</v>
      </c>
      <c r="N406" t="str">
        <f>IF(SalesTbl[[#This Row],[Profit]]&gt;180,"High Profit","Low Profit")</f>
        <v>High Profit</v>
      </c>
      <c r="O406" t="str">
        <f>TEXT(SalesTbl[[#This Row],[Date]],"mmm")</f>
        <v>Mar</v>
      </c>
    </row>
    <row r="407" spans="1:15" x14ac:dyDescent="0.3">
      <c r="A407">
        <v>1406</v>
      </c>
      <c r="B407" t="s">
        <v>113</v>
      </c>
      <c r="C407" t="s">
        <v>31</v>
      </c>
      <c r="D407" t="s">
        <v>32</v>
      </c>
      <c r="E407" t="s">
        <v>41</v>
      </c>
      <c r="F407" t="s">
        <v>17</v>
      </c>
      <c r="G407">
        <v>3</v>
      </c>
      <c r="H407">
        <v>216</v>
      </c>
      <c r="I407">
        <v>648</v>
      </c>
      <c r="J407">
        <v>395</v>
      </c>
      <c r="K407">
        <v>253</v>
      </c>
      <c r="L407" t="s">
        <v>18</v>
      </c>
      <c r="M407" t="s">
        <v>29</v>
      </c>
      <c r="N407" t="str">
        <f>IF(SalesTbl[[#This Row],[Profit]]&gt;180,"High Profit","Low Profit")</f>
        <v>High Profit</v>
      </c>
      <c r="O407" t="str">
        <f>TEXT(SalesTbl[[#This Row],[Date]],"mmm")</f>
        <v>May</v>
      </c>
    </row>
    <row r="408" spans="1:15" x14ac:dyDescent="0.3">
      <c r="A408">
        <v>1407</v>
      </c>
      <c r="B408" t="s">
        <v>71</v>
      </c>
      <c r="C408" t="s">
        <v>31</v>
      </c>
      <c r="D408" t="s">
        <v>35</v>
      </c>
      <c r="E408" t="s">
        <v>16</v>
      </c>
      <c r="F408" t="s">
        <v>17</v>
      </c>
      <c r="G408">
        <v>6</v>
      </c>
      <c r="H408">
        <v>776</v>
      </c>
      <c r="I408">
        <v>4656</v>
      </c>
      <c r="J408">
        <v>3352</v>
      </c>
      <c r="K408">
        <v>1304</v>
      </c>
      <c r="L408" t="s">
        <v>18</v>
      </c>
      <c r="M408" t="s">
        <v>19</v>
      </c>
      <c r="N408" t="str">
        <f>IF(SalesTbl[[#This Row],[Profit]]&gt;180,"High Profit","Low Profit")</f>
        <v>High Profit</v>
      </c>
      <c r="O408" t="str">
        <f>TEXT(SalesTbl[[#This Row],[Date]],"mmm")</f>
        <v>Apr</v>
      </c>
    </row>
    <row r="409" spans="1:15" x14ac:dyDescent="0.3">
      <c r="A409">
        <v>1408</v>
      </c>
      <c r="B409" t="s">
        <v>142</v>
      </c>
      <c r="C409" t="s">
        <v>21</v>
      </c>
      <c r="D409" t="s">
        <v>15</v>
      </c>
      <c r="E409" t="s">
        <v>27</v>
      </c>
      <c r="F409" t="s">
        <v>17</v>
      </c>
      <c r="G409">
        <v>9</v>
      </c>
      <c r="H409">
        <v>561</v>
      </c>
      <c r="I409">
        <v>5049</v>
      </c>
      <c r="J409">
        <v>3534</v>
      </c>
      <c r="K409">
        <v>1515</v>
      </c>
      <c r="L409" t="s">
        <v>38</v>
      </c>
      <c r="M409" t="s">
        <v>19</v>
      </c>
      <c r="N409" t="str">
        <f>IF(SalesTbl[[#This Row],[Profit]]&gt;180,"High Profit","Low Profit")</f>
        <v>High Profit</v>
      </c>
      <c r="O409" t="str">
        <f>TEXT(SalesTbl[[#This Row],[Date]],"mmm")</f>
        <v>Mar</v>
      </c>
    </row>
    <row r="410" spans="1:15" x14ac:dyDescent="0.3">
      <c r="A410">
        <v>1409</v>
      </c>
      <c r="B410" t="s">
        <v>98</v>
      </c>
      <c r="C410" t="s">
        <v>40</v>
      </c>
      <c r="D410" t="s">
        <v>35</v>
      </c>
      <c r="E410" t="s">
        <v>48</v>
      </c>
      <c r="F410" t="s">
        <v>23</v>
      </c>
      <c r="G410">
        <v>8</v>
      </c>
      <c r="H410">
        <v>965</v>
      </c>
      <c r="I410">
        <v>7720</v>
      </c>
      <c r="J410">
        <v>6176</v>
      </c>
      <c r="K410">
        <v>1544</v>
      </c>
      <c r="L410" t="s">
        <v>18</v>
      </c>
      <c r="M410" t="s">
        <v>19</v>
      </c>
      <c r="N410" t="str">
        <f>IF(SalesTbl[[#This Row],[Profit]]&gt;180,"High Profit","Low Profit")</f>
        <v>High Profit</v>
      </c>
      <c r="O410" t="str">
        <f>TEXT(SalesTbl[[#This Row],[Date]],"mmm")</f>
        <v>May</v>
      </c>
    </row>
    <row r="411" spans="1:15" x14ac:dyDescent="0.3">
      <c r="A411">
        <v>1410</v>
      </c>
      <c r="B411" t="s">
        <v>93</v>
      </c>
      <c r="C411" t="s">
        <v>21</v>
      </c>
      <c r="D411" t="s">
        <v>35</v>
      </c>
      <c r="E411" t="s">
        <v>41</v>
      </c>
      <c r="F411" t="s">
        <v>17</v>
      </c>
      <c r="G411">
        <v>5</v>
      </c>
      <c r="H411">
        <v>318</v>
      </c>
      <c r="I411">
        <v>1590</v>
      </c>
      <c r="J411">
        <v>1128</v>
      </c>
      <c r="K411">
        <v>462</v>
      </c>
      <c r="L411" t="s">
        <v>38</v>
      </c>
      <c r="M411" t="s">
        <v>29</v>
      </c>
      <c r="N411" t="str">
        <f>IF(SalesTbl[[#This Row],[Profit]]&gt;180,"High Profit","Low Profit")</f>
        <v>High Profit</v>
      </c>
      <c r="O411" t="str">
        <f>TEXT(SalesTbl[[#This Row],[Date]],"mmm")</f>
        <v>Jun</v>
      </c>
    </row>
    <row r="412" spans="1:15" x14ac:dyDescent="0.3">
      <c r="A412">
        <v>1860</v>
      </c>
      <c r="B412" t="s">
        <v>88</v>
      </c>
      <c r="C412" t="s">
        <v>40</v>
      </c>
      <c r="D412" t="s">
        <v>32</v>
      </c>
      <c r="E412" t="s">
        <v>41</v>
      </c>
      <c r="F412" t="s">
        <v>17</v>
      </c>
      <c r="G412">
        <v>5</v>
      </c>
      <c r="H412">
        <v>737</v>
      </c>
      <c r="I412">
        <v>3685</v>
      </c>
      <c r="J412">
        <v>2911</v>
      </c>
      <c r="K412">
        <v>774</v>
      </c>
      <c r="L412" t="s">
        <v>33</v>
      </c>
      <c r="M412" t="s">
        <v>19</v>
      </c>
      <c r="N412" t="str">
        <f>IF(SalesTbl[[#This Row],[Profit]]&gt;180,"High Profit","Low Profit")</f>
        <v>High Profit</v>
      </c>
      <c r="O412" t="str">
        <f>TEXT(SalesTbl[[#This Row],[Date]],"mmm")</f>
        <v>Feb</v>
      </c>
    </row>
    <row r="413" spans="1:15" x14ac:dyDescent="0.3">
      <c r="A413">
        <v>1412</v>
      </c>
      <c r="B413" t="s">
        <v>115</v>
      </c>
      <c r="C413" t="s">
        <v>21</v>
      </c>
      <c r="D413" t="s">
        <v>32</v>
      </c>
      <c r="E413" t="s">
        <v>54</v>
      </c>
      <c r="F413" t="s">
        <v>17</v>
      </c>
      <c r="G413">
        <v>2</v>
      </c>
      <c r="H413">
        <v>837</v>
      </c>
      <c r="I413">
        <v>1674</v>
      </c>
      <c r="J413">
        <v>1054</v>
      </c>
      <c r="K413">
        <v>620</v>
      </c>
      <c r="L413" t="s">
        <v>33</v>
      </c>
      <c r="M413" t="s">
        <v>19</v>
      </c>
      <c r="N413" t="str">
        <f>IF(SalesTbl[[#This Row],[Profit]]&gt;180,"High Profit","Low Profit")</f>
        <v>High Profit</v>
      </c>
      <c r="O413" t="str">
        <f>TEXT(SalesTbl[[#This Row],[Date]],"mmm")</f>
        <v>Jun</v>
      </c>
    </row>
    <row r="414" spans="1:15" x14ac:dyDescent="0.3">
      <c r="A414">
        <v>1413</v>
      </c>
      <c r="B414" t="s">
        <v>20</v>
      </c>
      <c r="C414" t="s">
        <v>21</v>
      </c>
      <c r="D414" t="s">
        <v>15</v>
      </c>
      <c r="E414" t="s">
        <v>54</v>
      </c>
      <c r="F414" t="s">
        <v>17</v>
      </c>
      <c r="G414">
        <v>8</v>
      </c>
      <c r="H414">
        <v>439</v>
      </c>
      <c r="I414">
        <v>3512</v>
      </c>
      <c r="J414">
        <v>2809</v>
      </c>
      <c r="K414">
        <v>703</v>
      </c>
      <c r="L414" t="s">
        <v>24</v>
      </c>
      <c r="M414" t="s">
        <v>19</v>
      </c>
      <c r="N414" t="str">
        <f>IF(SalesTbl[[#This Row],[Profit]]&gt;180,"High Profit","Low Profit")</f>
        <v>High Profit</v>
      </c>
      <c r="O414" t="str">
        <f>TEXT(SalesTbl[[#This Row],[Date]],"mmm")</f>
        <v>May</v>
      </c>
    </row>
    <row r="415" spans="1:15" x14ac:dyDescent="0.3">
      <c r="A415">
        <v>1414</v>
      </c>
      <c r="B415" t="s">
        <v>173</v>
      </c>
      <c r="C415" t="s">
        <v>14</v>
      </c>
      <c r="D415" t="s">
        <v>32</v>
      </c>
      <c r="E415" t="s">
        <v>22</v>
      </c>
      <c r="F415" t="s">
        <v>23</v>
      </c>
      <c r="G415">
        <v>2</v>
      </c>
      <c r="H415">
        <v>833</v>
      </c>
      <c r="I415">
        <v>1666</v>
      </c>
      <c r="J415">
        <v>1316</v>
      </c>
      <c r="K415">
        <v>350</v>
      </c>
      <c r="L415" t="s">
        <v>18</v>
      </c>
      <c r="M415" t="s">
        <v>19</v>
      </c>
      <c r="N415" t="str">
        <f>IF(SalesTbl[[#This Row],[Profit]]&gt;180,"High Profit","Low Profit")</f>
        <v>High Profit</v>
      </c>
      <c r="O415" t="str">
        <f>TEXT(SalesTbl[[#This Row],[Date]],"mmm")</f>
        <v>Feb</v>
      </c>
    </row>
    <row r="416" spans="1:15" x14ac:dyDescent="0.3">
      <c r="A416">
        <v>1415</v>
      </c>
      <c r="B416" t="s">
        <v>133</v>
      </c>
      <c r="C416" t="s">
        <v>40</v>
      </c>
      <c r="D416" t="s">
        <v>26</v>
      </c>
      <c r="E416" t="s">
        <v>22</v>
      </c>
      <c r="F416" t="s">
        <v>23</v>
      </c>
      <c r="G416">
        <v>10</v>
      </c>
      <c r="H416">
        <v>848</v>
      </c>
      <c r="I416">
        <v>8480</v>
      </c>
      <c r="J416">
        <v>5681</v>
      </c>
      <c r="K416">
        <v>2799</v>
      </c>
      <c r="L416" t="s">
        <v>38</v>
      </c>
      <c r="M416" t="s">
        <v>19</v>
      </c>
      <c r="N416" t="str">
        <f>IF(SalesTbl[[#This Row],[Profit]]&gt;180,"High Profit","Low Profit")</f>
        <v>High Profit</v>
      </c>
      <c r="O416" t="str">
        <f>TEXT(SalesTbl[[#This Row],[Date]],"mmm")</f>
        <v>May</v>
      </c>
    </row>
    <row r="417" spans="1:15" x14ac:dyDescent="0.3">
      <c r="A417">
        <v>1416</v>
      </c>
      <c r="B417" t="s">
        <v>130</v>
      </c>
      <c r="C417" t="s">
        <v>14</v>
      </c>
      <c r="D417" t="s">
        <v>35</v>
      </c>
      <c r="E417" t="s">
        <v>27</v>
      </c>
      <c r="F417" t="s">
        <v>17</v>
      </c>
      <c r="G417">
        <v>9</v>
      </c>
      <c r="H417">
        <v>531</v>
      </c>
      <c r="I417">
        <v>4779</v>
      </c>
      <c r="J417">
        <v>2867</v>
      </c>
      <c r="K417">
        <v>1912</v>
      </c>
      <c r="L417" t="s">
        <v>38</v>
      </c>
      <c r="M417" t="s">
        <v>29</v>
      </c>
      <c r="N417" t="str">
        <f>IF(SalesTbl[[#This Row],[Profit]]&gt;180,"High Profit","Low Profit")</f>
        <v>High Profit</v>
      </c>
      <c r="O417" t="str">
        <f>TEXT(SalesTbl[[#This Row],[Date]],"mmm")</f>
        <v>Mar</v>
      </c>
    </row>
    <row r="418" spans="1:15" x14ac:dyDescent="0.3">
      <c r="A418">
        <v>1417</v>
      </c>
      <c r="B418" t="s">
        <v>203</v>
      </c>
      <c r="C418" t="s">
        <v>31</v>
      </c>
      <c r="D418" t="s">
        <v>35</v>
      </c>
      <c r="E418" t="s">
        <v>41</v>
      </c>
      <c r="F418" t="s">
        <v>17</v>
      </c>
      <c r="G418">
        <v>10</v>
      </c>
      <c r="H418">
        <v>957</v>
      </c>
      <c r="I418">
        <v>9570</v>
      </c>
      <c r="J418">
        <v>5933</v>
      </c>
      <c r="K418">
        <v>3637</v>
      </c>
      <c r="L418" t="s">
        <v>38</v>
      </c>
      <c r="M418" t="s">
        <v>29</v>
      </c>
      <c r="N418" t="str">
        <f>IF(SalesTbl[[#This Row],[Profit]]&gt;180,"High Profit","Low Profit")</f>
        <v>High Profit</v>
      </c>
      <c r="O418" t="str">
        <f>TEXT(SalesTbl[[#This Row],[Date]],"mmm")</f>
        <v>Jun</v>
      </c>
    </row>
    <row r="419" spans="1:15" x14ac:dyDescent="0.3">
      <c r="A419">
        <v>1418</v>
      </c>
      <c r="B419" t="s">
        <v>107</v>
      </c>
      <c r="C419" t="s">
        <v>31</v>
      </c>
      <c r="D419" t="s">
        <v>35</v>
      </c>
      <c r="E419" t="s">
        <v>41</v>
      </c>
      <c r="F419" t="s">
        <v>17</v>
      </c>
      <c r="G419">
        <v>7</v>
      </c>
      <c r="H419">
        <v>130</v>
      </c>
      <c r="I419">
        <v>910</v>
      </c>
      <c r="J419">
        <v>600</v>
      </c>
      <c r="K419">
        <v>310</v>
      </c>
      <c r="L419" t="s">
        <v>38</v>
      </c>
      <c r="M419" t="s">
        <v>19</v>
      </c>
      <c r="N419" t="str">
        <f>IF(SalesTbl[[#This Row],[Profit]]&gt;180,"High Profit","Low Profit")</f>
        <v>High Profit</v>
      </c>
      <c r="O419" t="str">
        <f>TEXT(SalesTbl[[#This Row],[Date]],"mmm")</f>
        <v>Apr</v>
      </c>
    </row>
    <row r="420" spans="1:15" x14ac:dyDescent="0.3">
      <c r="A420">
        <v>1419</v>
      </c>
      <c r="B420" t="s">
        <v>123</v>
      </c>
      <c r="C420" t="s">
        <v>21</v>
      </c>
      <c r="D420" t="s">
        <v>35</v>
      </c>
      <c r="E420" t="s">
        <v>27</v>
      </c>
      <c r="F420" t="s">
        <v>17</v>
      </c>
      <c r="G420">
        <v>4</v>
      </c>
      <c r="H420">
        <v>650</v>
      </c>
      <c r="I420">
        <v>2600</v>
      </c>
      <c r="J420">
        <v>1872</v>
      </c>
      <c r="K420">
        <v>728</v>
      </c>
      <c r="L420" t="s">
        <v>33</v>
      </c>
      <c r="M420" t="s">
        <v>19</v>
      </c>
      <c r="N420" t="str">
        <f>IF(SalesTbl[[#This Row],[Profit]]&gt;180,"High Profit","Low Profit")</f>
        <v>High Profit</v>
      </c>
      <c r="O420" t="str">
        <f>TEXT(SalesTbl[[#This Row],[Date]],"mmm")</f>
        <v>Jan</v>
      </c>
    </row>
    <row r="421" spans="1:15" x14ac:dyDescent="0.3">
      <c r="A421">
        <v>1420</v>
      </c>
      <c r="B421" t="s">
        <v>56</v>
      </c>
      <c r="C421" t="s">
        <v>14</v>
      </c>
      <c r="D421" t="s">
        <v>15</v>
      </c>
      <c r="E421" t="s">
        <v>22</v>
      </c>
      <c r="F421" t="s">
        <v>23</v>
      </c>
      <c r="G421">
        <v>9</v>
      </c>
      <c r="H421">
        <v>804</v>
      </c>
      <c r="I421">
        <v>7236</v>
      </c>
      <c r="J421">
        <v>5065</v>
      </c>
      <c r="K421">
        <v>2171</v>
      </c>
      <c r="L421" t="s">
        <v>33</v>
      </c>
      <c r="M421" t="s">
        <v>19</v>
      </c>
      <c r="N421" t="str">
        <f>IF(SalesTbl[[#This Row],[Profit]]&gt;180,"High Profit","Low Profit")</f>
        <v>High Profit</v>
      </c>
      <c r="O421" t="str">
        <f>TEXT(SalesTbl[[#This Row],[Date]],"mmm")</f>
        <v>Jan</v>
      </c>
    </row>
    <row r="422" spans="1:15" x14ac:dyDescent="0.3">
      <c r="A422">
        <v>1421</v>
      </c>
      <c r="B422" t="s">
        <v>155</v>
      </c>
      <c r="C422" t="s">
        <v>31</v>
      </c>
      <c r="D422" t="s">
        <v>35</v>
      </c>
      <c r="E422" t="s">
        <v>54</v>
      </c>
      <c r="F422" t="s">
        <v>17</v>
      </c>
      <c r="G422">
        <v>5</v>
      </c>
      <c r="H422">
        <v>852</v>
      </c>
      <c r="I422">
        <v>4260</v>
      </c>
      <c r="J422">
        <v>3280</v>
      </c>
      <c r="K422">
        <v>980</v>
      </c>
      <c r="L422" t="s">
        <v>18</v>
      </c>
      <c r="M422" t="s">
        <v>19</v>
      </c>
      <c r="N422" t="str">
        <f>IF(SalesTbl[[#This Row],[Profit]]&gt;180,"High Profit","Low Profit")</f>
        <v>High Profit</v>
      </c>
      <c r="O422" t="str">
        <f>TEXT(SalesTbl[[#This Row],[Date]],"mmm")</f>
        <v>Mar</v>
      </c>
    </row>
    <row r="423" spans="1:15" x14ac:dyDescent="0.3">
      <c r="A423">
        <v>1422</v>
      </c>
      <c r="B423" t="s">
        <v>141</v>
      </c>
      <c r="C423" t="s">
        <v>21</v>
      </c>
      <c r="D423" t="s">
        <v>26</v>
      </c>
      <c r="E423" t="s">
        <v>48</v>
      </c>
      <c r="F423" t="s">
        <v>23</v>
      </c>
      <c r="G423">
        <v>7</v>
      </c>
      <c r="H423">
        <v>194</v>
      </c>
      <c r="I423">
        <v>1358</v>
      </c>
      <c r="J423">
        <v>869</v>
      </c>
      <c r="K423">
        <v>489</v>
      </c>
      <c r="L423" t="s">
        <v>18</v>
      </c>
      <c r="M423" t="s">
        <v>29</v>
      </c>
      <c r="N423" t="str">
        <f>IF(SalesTbl[[#This Row],[Profit]]&gt;180,"High Profit","Low Profit")</f>
        <v>High Profit</v>
      </c>
      <c r="O423" t="str">
        <f>TEXT(SalesTbl[[#This Row],[Date]],"mmm")</f>
        <v>Jan</v>
      </c>
    </row>
    <row r="424" spans="1:15" x14ac:dyDescent="0.3">
      <c r="A424">
        <v>1423</v>
      </c>
      <c r="B424" t="s">
        <v>177</v>
      </c>
      <c r="C424" t="s">
        <v>31</v>
      </c>
      <c r="D424" t="s">
        <v>35</v>
      </c>
      <c r="E424" t="s">
        <v>41</v>
      </c>
      <c r="F424" t="s">
        <v>17</v>
      </c>
      <c r="G424">
        <v>3</v>
      </c>
      <c r="H424">
        <v>487</v>
      </c>
      <c r="I424">
        <v>1461</v>
      </c>
      <c r="J424">
        <v>1008</v>
      </c>
      <c r="K424">
        <v>453</v>
      </c>
      <c r="L424" t="s">
        <v>28</v>
      </c>
      <c r="M424" t="s">
        <v>19</v>
      </c>
      <c r="N424" t="str">
        <f>IF(SalesTbl[[#This Row],[Profit]]&gt;180,"High Profit","Low Profit")</f>
        <v>High Profit</v>
      </c>
      <c r="O424" t="str">
        <f>TEXT(SalesTbl[[#This Row],[Date]],"mmm")</f>
        <v>Feb</v>
      </c>
    </row>
    <row r="425" spans="1:15" x14ac:dyDescent="0.3">
      <c r="A425">
        <v>1424</v>
      </c>
      <c r="B425" t="s">
        <v>76</v>
      </c>
      <c r="C425" t="s">
        <v>21</v>
      </c>
      <c r="D425" t="s">
        <v>26</v>
      </c>
      <c r="E425" t="s">
        <v>54</v>
      </c>
      <c r="F425" t="s">
        <v>17</v>
      </c>
      <c r="G425">
        <v>3</v>
      </c>
      <c r="H425">
        <v>199</v>
      </c>
      <c r="I425">
        <v>597</v>
      </c>
      <c r="J425">
        <v>388</v>
      </c>
      <c r="K425">
        <v>209</v>
      </c>
      <c r="L425" t="s">
        <v>33</v>
      </c>
      <c r="M425" t="s">
        <v>19</v>
      </c>
      <c r="N425" t="str">
        <f>IF(SalesTbl[[#This Row],[Profit]]&gt;180,"High Profit","Low Profit")</f>
        <v>High Profit</v>
      </c>
      <c r="O425" t="str">
        <f>TEXT(SalesTbl[[#This Row],[Date]],"mmm")</f>
        <v>Jun</v>
      </c>
    </row>
    <row r="426" spans="1:15" x14ac:dyDescent="0.3">
      <c r="A426">
        <v>1425</v>
      </c>
      <c r="B426" t="s">
        <v>137</v>
      </c>
      <c r="C426" t="s">
        <v>14</v>
      </c>
      <c r="D426" t="s">
        <v>35</v>
      </c>
      <c r="E426" t="s">
        <v>22</v>
      </c>
      <c r="F426" t="s">
        <v>23</v>
      </c>
      <c r="G426">
        <v>1</v>
      </c>
      <c r="H426">
        <v>995</v>
      </c>
      <c r="I426">
        <v>995</v>
      </c>
      <c r="J426">
        <v>626</v>
      </c>
      <c r="K426">
        <v>369</v>
      </c>
      <c r="L426" t="s">
        <v>18</v>
      </c>
      <c r="M426" t="s">
        <v>29</v>
      </c>
      <c r="N426" t="str">
        <f>IF(SalesTbl[[#This Row],[Profit]]&gt;180,"High Profit","Low Profit")</f>
        <v>High Profit</v>
      </c>
      <c r="O426" t="str">
        <f>TEXT(SalesTbl[[#This Row],[Date]],"mmm")</f>
        <v>Feb</v>
      </c>
    </row>
    <row r="427" spans="1:15" x14ac:dyDescent="0.3">
      <c r="A427">
        <v>1439</v>
      </c>
      <c r="B427" t="s">
        <v>171</v>
      </c>
      <c r="C427" t="s">
        <v>40</v>
      </c>
      <c r="D427" t="s">
        <v>35</v>
      </c>
      <c r="E427" t="s">
        <v>54</v>
      </c>
      <c r="F427" t="s">
        <v>17</v>
      </c>
      <c r="G427">
        <v>4</v>
      </c>
      <c r="H427">
        <v>488</v>
      </c>
      <c r="I427">
        <v>1952</v>
      </c>
      <c r="J427">
        <v>1190</v>
      </c>
      <c r="K427">
        <v>762</v>
      </c>
      <c r="L427" t="s">
        <v>38</v>
      </c>
      <c r="M427" t="s">
        <v>19</v>
      </c>
      <c r="N427" t="str">
        <f>IF(SalesTbl[[#This Row],[Profit]]&gt;180,"High Profit","Low Profit")</f>
        <v>High Profit</v>
      </c>
      <c r="O427" t="str">
        <f>TEXT(SalesTbl[[#This Row],[Date]],"mmm")</f>
        <v>Apr</v>
      </c>
    </row>
    <row r="428" spans="1:15" x14ac:dyDescent="0.3">
      <c r="A428">
        <v>1427</v>
      </c>
      <c r="B428" t="s">
        <v>131</v>
      </c>
      <c r="C428" t="s">
        <v>31</v>
      </c>
      <c r="D428" t="s">
        <v>15</v>
      </c>
      <c r="E428" t="s">
        <v>41</v>
      </c>
      <c r="F428" t="s">
        <v>17</v>
      </c>
      <c r="G428">
        <v>9</v>
      </c>
      <c r="H428">
        <v>396</v>
      </c>
      <c r="I428">
        <v>3564</v>
      </c>
      <c r="J428">
        <v>2601</v>
      </c>
      <c r="K428">
        <v>963</v>
      </c>
      <c r="L428" t="s">
        <v>28</v>
      </c>
      <c r="M428" t="s">
        <v>29</v>
      </c>
      <c r="N428" t="str">
        <f>IF(SalesTbl[[#This Row],[Profit]]&gt;180,"High Profit","Low Profit")</f>
        <v>High Profit</v>
      </c>
      <c r="O428" t="str">
        <f>TEXT(SalesTbl[[#This Row],[Date]],"mmm")</f>
        <v>May</v>
      </c>
    </row>
    <row r="429" spans="1:15" x14ac:dyDescent="0.3">
      <c r="A429">
        <v>1428</v>
      </c>
      <c r="B429" t="s">
        <v>132</v>
      </c>
      <c r="C429" t="s">
        <v>31</v>
      </c>
      <c r="D429" t="s">
        <v>15</v>
      </c>
      <c r="E429" t="s">
        <v>22</v>
      </c>
      <c r="F429" t="s">
        <v>23</v>
      </c>
      <c r="G429">
        <v>1</v>
      </c>
      <c r="H429">
        <v>639</v>
      </c>
      <c r="I429">
        <v>639</v>
      </c>
      <c r="J429">
        <v>383</v>
      </c>
      <c r="K429">
        <v>256</v>
      </c>
      <c r="L429" t="s">
        <v>18</v>
      </c>
      <c r="M429" t="s">
        <v>29</v>
      </c>
      <c r="N429" t="str">
        <f>IF(SalesTbl[[#This Row],[Profit]]&gt;180,"High Profit","Low Profit")</f>
        <v>High Profit</v>
      </c>
      <c r="O429" t="str">
        <f>TEXT(SalesTbl[[#This Row],[Date]],"mmm")</f>
        <v>Jan</v>
      </c>
    </row>
    <row r="430" spans="1:15" x14ac:dyDescent="0.3">
      <c r="A430">
        <v>1782</v>
      </c>
      <c r="B430" t="s">
        <v>64</v>
      </c>
      <c r="C430" t="s">
        <v>40</v>
      </c>
      <c r="D430" t="s">
        <v>35</v>
      </c>
      <c r="E430" t="s">
        <v>41</v>
      </c>
      <c r="F430" t="s">
        <v>17</v>
      </c>
      <c r="G430">
        <v>3</v>
      </c>
      <c r="H430">
        <v>666</v>
      </c>
      <c r="I430">
        <v>1998</v>
      </c>
      <c r="J430">
        <v>1238</v>
      </c>
      <c r="K430">
        <v>760</v>
      </c>
      <c r="L430" t="s">
        <v>28</v>
      </c>
      <c r="M430" t="s">
        <v>19</v>
      </c>
      <c r="N430" t="str">
        <f>IF(SalesTbl[[#This Row],[Profit]]&gt;180,"High Profit","Low Profit")</f>
        <v>High Profit</v>
      </c>
      <c r="O430" t="str">
        <f>TEXT(SalesTbl[[#This Row],[Date]],"mmm")</f>
        <v>Jan</v>
      </c>
    </row>
    <row r="431" spans="1:15" x14ac:dyDescent="0.3">
      <c r="A431">
        <v>1430</v>
      </c>
      <c r="B431" t="s">
        <v>130</v>
      </c>
      <c r="C431" t="s">
        <v>21</v>
      </c>
      <c r="D431" t="s">
        <v>26</v>
      </c>
      <c r="E431" t="s">
        <v>41</v>
      </c>
      <c r="F431" t="s">
        <v>17</v>
      </c>
      <c r="G431">
        <v>4</v>
      </c>
      <c r="H431">
        <v>507</v>
      </c>
      <c r="I431">
        <v>2028</v>
      </c>
      <c r="J431">
        <v>1358</v>
      </c>
      <c r="K431">
        <v>670</v>
      </c>
      <c r="L431" t="s">
        <v>18</v>
      </c>
      <c r="M431" t="s">
        <v>19</v>
      </c>
      <c r="N431" t="str">
        <f>IF(SalesTbl[[#This Row],[Profit]]&gt;180,"High Profit","Low Profit")</f>
        <v>High Profit</v>
      </c>
      <c r="O431" t="str">
        <f>TEXT(SalesTbl[[#This Row],[Date]],"mmm")</f>
        <v>Mar</v>
      </c>
    </row>
    <row r="432" spans="1:15" x14ac:dyDescent="0.3">
      <c r="A432">
        <v>1431</v>
      </c>
      <c r="B432" t="s">
        <v>128</v>
      </c>
      <c r="C432" t="s">
        <v>31</v>
      </c>
      <c r="D432" t="s">
        <v>32</v>
      </c>
      <c r="E432" t="s">
        <v>22</v>
      </c>
      <c r="F432" t="s">
        <v>23</v>
      </c>
      <c r="G432">
        <v>3</v>
      </c>
      <c r="H432">
        <v>91</v>
      </c>
      <c r="I432">
        <v>273</v>
      </c>
      <c r="J432">
        <v>193</v>
      </c>
      <c r="K432">
        <v>80</v>
      </c>
      <c r="L432" t="s">
        <v>24</v>
      </c>
      <c r="M432" t="s">
        <v>29</v>
      </c>
      <c r="N432" t="str">
        <f>IF(SalesTbl[[#This Row],[Profit]]&gt;180,"High Profit","Low Profit")</f>
        <v>Low Profit</v>
      </c>
      <c r="O432" t="str">
        <f>TEXT(SalesTbl[[#This Row],[Date]],"mmm")</f>
        <v>Jan</v>
      </c>
    </row>
    <row r="433" spans="1:15" x14ac:dyDescent="0.3">
      <c r="A433">
        <v>1432</v>
      </c>
      <c r="B433" t="s">
        <v>181</v>
      </c>
      <c r="C433" t="s">
        <v>31</v>
      </c>
      <c r="D433" t="s">
        <v>26</v>
      </c>
      <c r="E433" t="s">
        <v>54</v>
      </c>
      <c r="F433" t="s">
        <v>17</v>
      </c>
      <c r="G433">
        <v>4</v>
      </c>
      <c r="H433">
        <v>109</v>
      </c>
      <c r="I433">
        <v>436</v>
      </c>
      <c r="J433">
        <v>287</v>
      </c>
      <c r="K433">
        <v>149</v>
      </c>
      <c r="L433" t="s">
        <v>24</v>
      </c>
      <c r="M433" t="s">
        <v>19</v>
      </c>
      <c r="N433" t="str">
        <f>IF(SalesTbl[[#This Row],[Profit]]&gt;180,"High Profit","Low Profit")</f>
        <v>Low Profit</v>
      </c>
      <c r="O433" t="str">
        <f>TEXT(SalesTbl[[#This Row],[Date]],"mmm")</f>
        <v>Jan</v>
      </c>
    </row>
    <row r="434" spans="1:15" x14ac:dyDescent="0.3">
      <c r="A434">
        <v>1433</v>
      </c>
      <c r="B434" t="s">
        <v>174</v>
      </c>
      <c r="C434" t="s">
        <v>14</v>
      </c>
      <c r="D434" t="s">
        <v>15</v>
      </c>
      <c r="E434" t="s">
        <v>16</v>
      </c>
      <c r="F434" t="s">
        <v>17</v>
      </c>
      <c r="G434">
        <v>6</v>
      </c>
      <c r="H434">
        <v>921</v>
      </c>
      <c r="I434">
        <v>5526</v>
      </c>
      <c r="J434">
        <v>3370</v>
      </c>
      <c r="K434">
        <v>2156</v>
      </c>
      <c r="L434" t="s">
        <v>38</v>
      </c>
      <c r="M434" t="s">
        <v>29</v>
      </c>
      <c r="N434" t="str">
        <f>IF(SalesTbl[[#This Row],[Profit]]&gt;180,"High Profit","Low Profit")</f>
        <v>High Profit</v>
      </c>
      <c r="O434" t="str">
        <f>TEXT(SalesTbl[[#This Row],[Date]],"mmm")</f>
        <v>Mar</v>
      </c>
    </row>
    <row r="435" spans="1:15" x14ac:dyDescent="0.3">
      <c r="A435">
        <v>1434</v>
      </c>
      <c r="B435" t="s">
        <v>117</v>
      </c>
      <c r="C435" t="s">
        <v>21</v>
      </c>
      <c r="D435" t="s">
        <v>26</v>
      </c>
      <c r="E435" t="s">
        <v>16</v>
      </c>
      <c r="F435" t="s">
        <v>17</v>
      </c>
      <c r="G435">
        <v>8</v>
      </c>
      <c r="H435">
        <v>511</v>
      </c>
      <c r="I435">
        <v>4088</v>
      </c>
      <c r="J435">
        <v>2820</v>
      </c>
      <c r="K435">
        <v>1268</v>
      </c>
      <c r="L435" t="s">
        <v>33</v>
      </c>
      <c r="M435" t="s">
        <v>19</v>
      </c>
      <c r="N435" t="str">
        <f>IF(SalesTbl[[#This Row],[Profit]]&gt;180,"High Profit","Low Profit")</f>
        <v>High Profit</v>
      </c>
      <c r="O435" t="str">
        <f>TEXT(SalesTbl[[#This Row],[Date]],"mmm")</f>
        <v>Jun</v>
      </c>
    </row>
    <row r="436" spans="1:15" x14ac:dyDescent="0.3">
      <c r="A436">
        <v>1435</v>
      </c>
      <c r="B436" t="s">
        <v>195</v>
      </c>
      <c r="C436" t="s">
        <v>31</v>
      </c>
      <c r="D436" t="s">
        <v>15</v>
      </c>
      <c r="E436" t="s">
        <v>41</v>
      </c>
      <c r="F436" t="s">
        <v>17</v>
      </c>
      <c r="G436">
        <v>6</v>
      </c>
      <c r="H436">
        <v>81</v>
      </c>
      <c r="I436">
        <v>486</v>
      </c>
      <c r="J436">
        <v>374</v>
      </c>
      <c r="K436">
        <v>112</v>
      </c>
      <c r="L436" t="s">
        <v>28</v>
      </c>
      <c r="M436" t="s">
        <v>29</v>
      </c>
      <c r="N436" t="str">
        <f>IF(SalesTbl[[#This Row],[Profit]]&gt;180,"High Profit","Low Profit")</f>
        <v>Low Profit</v>
      </c>
      <c r="O436" t="str">
        <f>TEXT(SalesTbl[[#This Row],[Date]],"mmm")</f>
        <v>Feb</v>
      </c>
    </row>
    <row r="437" spans="1:15" x14ac:dyDescent="0.3">
      <c r="A437">
        <v>1436</v>
      </c>
      <c r="B437" t="s">
        <v>60</v>
      </c>
      <c r="C437" t="s">
        <v>31</v>
      </c>
      <c r="D437" t="s">
        <v>26</v>
      </c>
      <c r="E437" t="s">
        <v>22</v>
      </c>
      <c r="F437" t="s">
        <v>23</v>
      </c>
      <c r="G437">
        <v>9</v>
      </c>
      <c r="H437">
        <v>306</v>
      </c>
      <c r="I437">
        <v>2754</v>
      </c>
      <c r="J437">
        <v>1679</v>
      </c>
      <c r="K437">
        <v>1075</v>
      </c>
      <c r="L437" t="s">
        <v>18</v>
      </c>
      <c r="M437" t="s">
        <v>29</v>
      </c>
      <c r="N437" t="str">
        <f>IF(SalesTbl[[#This Row],[Profit]]&gt;180,"High Profit","Low Profit")</f>
        <v>High Profit</v>
      </c>
      <c r="O437" t="str">
        <f>TEXT(SalesTbl[[#This Row],[Date]],"mmm")</f>
        <v>Jan</v>
      </c>
    </row>
    <row r="438" spans="1:15" x14ac:dyDescent="0.3">
      <c r="A438">
        <v>1437</v>
      </c>
      <c r="B438" t="s">
        <v>84</v>
      </c>
      <c r="C438" t="s">
        <v>14</v>
      </c>
      <c r="D438" t="s">
        <v>15</v>
      </c>
      <c r="E438" t="s">
        <v>16</v>
      </c>
      <c r="F438" t="s">
        <v>17</v>
      </c>
      <c r="G438">
        <v>4</v>
      </c>
      <c r="H438">
        <v>712</v>
      </c>
      <c r="I438">
        <v>2848</v>
      </c>
      <c r="J438">
        <v>1708</v>
      </c>
      <c r="K438">
        <v>1140</v>
      </c>
      <c r="L438" t="s">
        <v>18</v>
      </c>
      <c r="M438" t="s">
        <v>29</v>
      </c>
      <c r="N438" t="str">
        <f>IF(SalesTbl[[#This Row],[Profit]]&gt;180,"High Profit","Low Profit")</f>
        <v>High Profit</v>
      </c>
      <c r="O438" t="str">
        <f>TEXT(SalesTbl[[#This Row],[Date]],"mmm")</f>
        <v>Apr</v>
      </c>
    </row>
    <row r="439" spans="1:15" x14ac:dyDescent="0.3">
      <c r="A439">
        <v>1537</v>
      </c>
      <c r="B439" t="s">
        <v>113</v>
      </c>
      <c r="C439" t="s">
        <v>40</v>
      </c>
      <c r="D439" t="s">
        <v>35</v>
      </c>
      <c r="E439" t="s">
        <v>16</v>
      </c>
      <c r="F439" t="s">
        <v>17</v>
      </c>
      <c r="G439">
        <v>5</v>
      </c>
      <c r="H439">
        <v>418</v>
      </c>
      <c r="I439">
        <v>2090</v>
      </c>
      <c r="J439">
        <v>1337</v>
      </c>
      <c r="K439">
        <v>753</v>
      </c>
      <c r="L439" t="s">
        <v>38</v>
      </c>
      <c r="M439" t="s">
        <v>29</v>
      </c>
      <c r="N439" t="str">
        <f>IF(SalesTbl[[#This Row],[Profit]]&gt;180,"High Profit","Low Profit")</f>
        <v>High Profit</v>
      </c>
      <c r="O439" t="str">
        <f>TEXT(SalesTbl[[#This Row],[Date]],"mmm")</f>
        <v>May</v>
      </c>
    </row>
    <row r="440" spans="1:15" x14ac:dyDescent="0.3">
      <c r="A440">
        <v>1745</v>
      </c>
      <c r="B440" t="s">
        <v>162</v>
      </c>
      <c r="C440" t="s">
        <v>40</v>
      </c>
      <c r="D440" t="s">
        <v>32</v>
      </c>
      <c r="E440" t="s">
        <v>54</v>
      </c>
      <c r="F440" t="s">
        <v>17</v>
      </c>
      <c r="G440">
        <v>3</v>
      </c>
      <c r="H440">
        <v>656</v>
      </c>
      <c r="I440">
        <v>1968</v>
      </c>
      <c r="J440">
        <v>1220</v>
      </c>
      <c r="K440">
        <v>748</v>
      </c>
      <c r="L440" t="s">
        <v>33</v>
      </c>
      <c r="M440" t="s">
        <v>29</v>
      </c>
      <c r="N440" t="str">
        <f>IF(SalesTbl[[#This Row],[Profit]]&gt;180,"High Profit","Low Profit")</f>
        <v>High Profit</v>
      </c>
      <c r="O440" t="str">
        <f>TEXT(SalesTbl[[#This Row],[Date]],"mmm")</f>
        <v>Apr</v>
      </c>
    </row>
    <row r="441" spans="1:15" x14ac:dyDescent="0.3">
      <c r="A441">
        <v>1440</v>
      </c>
      <c r="B441" t="s">
        <v>30</v>
      </c>
      <c r="C441" t="s">
        <v>21</v>
      </c>
      <c r="D441" t="s">
        <v>26</v>
      </c>
      <c r="E441" t="s">
        <v>41</v>
      </c>
      <c r="F441" t="s">
        <v>17</v>
      </c>
      <c r="G441">
        <v>7</v>
      </c>
      <c r="H441">
        <v>382</v>
      </c>
      <c r="I441">
        <v>2674</v>
      </c>
      <c r="J441">
        <v>1871</v>
      </c>
      <c r="K441">
        <v>803</v>
      </c>
      <c r="L441" t="s">
        <v>24</v>
      </c>
      <c r="M441" t="s">
        <v>29</v>
      </c>
      <c r="N441" t="str">
        <f>IF(SalesTbl[[#This Row],[Profit]]&gt;180,"High Profit","Low Profit")</f>
        <v>High Profit</v>
      </c>
      <c r="O441" t="str">
        <f>TEXT(SalesTbl[[#This Row],[Date]],"mmm")</f>
        <v>Feb</v>
      </c>
    </row>
    <row r="442" spans="1:15" x14ac:dyDescent="0.3">
      <c r="A442">
        <v>1232</v>
      </c>
      <c r="B442" t="s">
        <v>165</v>
      </c>
      <c r="C442" t="s">
        <v>40</v>
      </c>
      <c r="D442" t="s">
        <v>26</v>
      </c>
      <c r="E442" t="s">
        <v>27</v>
      </c>
      <c r="F442" t="s">
        <v>17</v>
      </c>
      <c r="G442">
        <v>3</v>
      </c>
      <c r="H442">
        <v>733</v>
      </c>
      <c r="I442">
        <v>2199</v>
      </c>
      <c r="J442">
        <v>1473</v>
      </c>
      <c r="K442">
        <v>726</v>
      </c>
      <c r="L442" t="s">
        <v>18</v>
      </c>
      <c r="M442" t="s">
        <v>19</v>
      </c>
      <c r="N442" t="str">
        <f>IF(SalesTbl[[#This Row],[Profit]]&gt;180,"High Profit","Low Profit")</f>
        <v>High Profit</v>
      </c>
      <c r="O442" t="str">
        <f>TEXT(SalesTbl[[#This Row],[Date]],"mmm")</f>
        <v>Mar</v>
      </c>
    </row>
    <row r="443" spans="1:15" x14ac:dyDescent="0.3">
      <c r="A443">
        <v>1442</v>
      </c>
      <c r="B443" t="s">
        <v>109</v>
      </c>
      <c r="C443" t="s">
        <v>40</v>
      </c>
      <c r="D443" t="s">
        <v>15</v>
      </c>
      <c r="E443" t="s">
        <v>22</v>
      </c>
      <c r="F443" t="s">
        <v>23</v>
      </c>
      <c r="G443">
        <v>8</v>
      </c>
      <c r="H443">
        <v>76</v>
      </c>
      <c r="I443">
        <v>608</v>
      </c>
      <c r="J443">
        <v>431</v>
      </c>
      <c r="K443">
        <v>177</v>
      </c>
      <c r="L443" t="s">
        <v>28</v>
      </c>
      <c r="M443" t="s">
        <v>19</v>
      </c>
      <c r="N443" t="str">
        <f>IF(SalesTbl[[#This Row],[Profit]]&gt;180,"High Profit","Low Profit")</f>
        <v>Low Profit</v>
      </c>
      <c r="O443" t="str">
        <f>TEXT(SalesTbl[[#This Row],[Date]],"mmm")</f>
        <v>Apr</v>
      </c>
    </row>
    <row r="444" spans="1:15" x14ac:dyDescent="0.3">
      <c r="A444">
        <v>1443</v>
      </c>
      <c r="B444" t="s">
        <v>70</v>
      </c>
      <c r="C444" t="s">
        <v>14</v>
      </c>
      <c r="D444" t="s">
        <v>15</v>
      </c>
      <c r="E444" t="s">
        <v>16</v>
      </c>
      <c r="F444" t="s">
        <v>17</v>
      </c>
      <c r="G444">
        <v>8</v>
      </c>
      <c r="H444">
        <v>330</v>
      </c>
      <c r="I444">
        <v>2640</v>
      </c>
      <c r="J444">
        <v>1768</v>
      </c>
      <c r="K444">
        <v>872</v>
      </c>
      <c r="L444" t="s">
        <v>33</v>
      </c>
      <c r="M444" t="s">
        <v>19</v>
      </c>
      <c r="N444" t="str">
        <f>IF(SalesTbl[[#This Row],[Profit]]&gt;180,"High Profit","Low Profit")</f>
        <v>High Profit</v>
      </c>
      <c r="O444" t="str">
        <f>TEXT(SalesTbl[[#This Row],[Date]],"mmm")</f>
        <v>Mar</v>
      </c>
    </row>
    <row r="445" spans="1:15" x14ac:dyDescent="0.3">
      <c r="A445">
        <v>1444</v>
      </c>
      <c r="B445" t="s">
        <v>198</v>
      </c>
      <c r="C445" t="s">
        <v>31</v>
      </c>
      <c r="D445" t="s">
        <v>32</v>
      </c>
      <c r="E445" t="s">
        <v>16</v>
      </c>
      <c r="F445" t="s">
        <v>17</v>
      </c>
      <c r="G445">
        <v>2</v>
      </c>
      <c r="H445">
        <v>686</v>
      </c>
      <c r="I445">
        <v>1372</v>
      </c>
      <c r="J445">
        <v>1015</v>
      </c>
      <c r="K445">
        <v>357</v>
      </c>
      <c r="L445" t="s">
        <v>18</v>
      </c>
      <c r="M445" t="s">
        <v>19</v>
      </c>
      <c r="N445" t="str">
        <f>IF(SalesTbl[[#This Row],[Profit]]&gt;180,"High Profit","Low Profit")</f>
        <v>High Profit</v>
      </c>
      <c r="O445" t="str">
        <f>TEXT(SalesTbl[[#This Row],[Date]],"mmm")</f>
        <v>May</v>
      </c>
    </row>
    <row r="446" spans="1:15" x14ac:dyDescent="0.3">
      <c r="A446">
        <v>1445</v>
      </c>
      <c r="B446" t="s">
        <v>205</v>
      </c>
      <c r="C446" t="s">
        <v>31</v>
      </c>
      <c r="D446" t="s">
        <v>26</v>
      </c>
      <c r="E446" t="s">
        <v>27</v>
      </c>
      <c r="F446" t="s">
        <v>17</v>
      </c>
      <c r="G446">
        <v>4</v>
      </c>
      <c r="H446">
        <v>367</v>
      </c>
      <c r="I446">
        <v>1468</v>
      </c>
      <c r="J446">
        <v>983</v>
      </c>
      <c r="K446">
        <v>485</v>
      </c>
      <c r="L446" t="s">
        <v>38</v>
      </c>
      <c r="M446" t="s">
        <v>19</v>
      </c>
      <c r="N446" t="str">
        <f>IF(SalesTbl[[#This Row],[Profit]]&gt;180,"High Profit","Low Profit")</f>
        <v>High Profit</v>
      </c>
      <c r="O446" t="str">
        <f>TEXT(SalesTbl[[#This Row],[Date]],"mmm")</f>
        <v>Feb</v>
      </c>
    </row>
    <row r="447" spans="1:15" x14ac:dyDescent="0.3">
      <c r="A447">
        <v>1446</v>
      </c>
      <c r="B447" t="s">
        <v>135</v>
      </c>
      <c r="C447" t="s">
        <v>14</v>
      </c>
      <c r="D447" t="s">
        <v>26</v>
      </c>
      <c r="E447" t="s">
        <v>16</v>
      </c>
      <c r="F447" t="s">
        <v>17</v>
      </c>
      <c r="G447">
        <v>3</v>
      </c>
      <c r="H447">
        <v>577</v>
      </c>
      <c r="I447">
        <v>1731</v>
      </c>
      <c r="J447">
        <v>1142</v>
      </c>
      <c r="K447">
        <v>589</v>
      </c>
      <c r="L447" t="s">
        <v>33</v>
      </c>
      <c r="M447" t="s">
        <v>29</v>
      </c>
      <c r="N447" t="str">
        <f>IF(SalesTbl[[#This Row],[Profit]]&gt;180,"High Profit","Low Profit")</f>
        <v>High Profit</v>
      </c>
      <c r="O447" t="str">
        <f>TEXT(SalesTbl[[#This Row],[Date]],"mmm")</f>
        <v>May</v>
      </c>
    </row>
    <row r="448" spans="1:15" x14ac:dyDescent="0.3">
      <c r="A448">
        <v>1783</v>
      </c>
      <c r="B448" t="s">
        <v>173</v>
      </c>
      <c r="C448" t="s">
        <v>40</v>
      </c>
      <c r="D448" t="s">
        <v>35</v>
      </c>
      <c r="E448" t="s">
        <v>54</v>
      </c>
      <c r="F448" t="s">
        <v>17</v>
      </c>
      <c r="G448">
        <v>4</v>
      </c>
      <c r="H448">
        <v>904</v>
      </c>
      <c r="I448">
        <v>3616</v>
      </c>
      <c r="J448">
        <v>2892</v>
      </c>
      <c r="K448">
        <v>724</v>
      </c>
      <c r="L448" t="s">
        <v>38</v>
      </c>
      <c r="M448" t="s">
        <v>19</v>
      </c>
      <c r="N448" t="str">
        <f>IF(SalesTbl[[#This Row],[Profit]]&gt;180,"High Profit","Low Profit")</f>
        <v>High Profit</v>
      </c>
      <c r="O448" t="str">
        <f>TEXT(SalesTbl[[#This Row],[Date]],"mmm")</f>
        <v>Feb</v>
      </c>
    </row>
    <row r="449" spans="1:15" x14ac:dyDescent="0.3">
      <c r="A449">
        <v>1448</v>
      </c>
      <c r="B449" t="s">
        <v>93</v>
      </c>
      <c r="C449" t="s">
        <v>14</v>
      </c>
      <c r="D449" t="s">
        <v>32</v>
      </c>
      <c r="E449" t="s">
        <v>27</v>
      </c>
      <c r="F449" t="s">
        <v>17</v>
      </c>
      <c r="G449">
        <v>4</v>
      </c>
      <c r="H449">
        <v>160</v>
      </c>
      <c r="I449">
        <v>640</v>
      </c>
      <c r="J449">
        <v>435</v>
      </c>
      <c r="K449">
        <v>205</v>
      </c>
      <c r="L449" t="s">
        <v>33</v>
      </c>
      <c r="M449" t="s">
        <v>29</v>
      </c>
      <c r="N449" t="str">
        <f>IF(SalesTbl[[#This Row],[Profit]]&gt;180,"High Profit","Low Profit")</f>
        <v>High Profit</v>
      </c>
      <c r="O449" t="str">
        <f>TEXT(SalesTbl[[#This Row],[Date]],"mmm")</f>
        <v>Jun</v>
      </c>
    </row>
    <row r="450" spans="1:15" x14ac:dyDescent="0.3">
      <c r="A450">
        <v>1449</v>
      </c>
      <c r="B450" t="s">
        <v>47</v>
      </c>
      <c r="C450" t="s">
        <v>40</v>
      </c>
      <c r="D450" t="s">
        <v>35</v>
      </c>
      <c r="E450" t="s">
        <v>22</v>
      </c>
      <c r="F450" t="s">
        <v>23</v>
      </c>
      <c r="G450">
        <v>3</v>
      </c>
      <c r="H450">
        <v>410</v>
      </c>
      <c r="I450">
        <v>1230</v>
      </c>
      <c r="J450">
        <v>984</v>
      </c>
      <c r="K450">
        <v>246</v>
      </c>
      <c r="L450" t="s">
        <v>18</v>
      </c>
      <c r="M450" t="s">
        <v>19</v>
      </c>
      <c r="N450" t="str">
        <f>IF(SalesTbl[[#This Row],[Profit]]&gt;180,"High Profit","Low Profit")</f>
        <v>High Profit</v>
      </c>
      <c r="O450" t="str">
        <f>TEXT(SalesTbl[[#This Row],[Date]],"mmm")</f>
        <v>May</v>
      </c>
    </row>
    <row r="451" spans="1:15" x14ac:dyDescent="0.3">
      <c r="A451">
        <v>1450</v>
      </c>
      <c r="B451" t="s">
        <v>91</v>
      </c>
      <c r="C451" t="s">
        <v>31</v>
      </c>
      <c r="D451" t="s">
        <v>15</v>
      </c>
      <c r="E451" t="s">
        <v>16</v>
      </c>
      <c r="F451" t="s">
        <v>17</v>
      </c>
      <c r="G451">
        <v>6</v>
      </c>
      <c r="H451">
        <v>969</v>
      </c>
      <c r="I451">
        <v>5814</v>
      </c>
      <c r="J451">
        <v>3953</v>
      </c>
      <c r="K451">
        <v>1861</v>
      </c>
      <c r="L451" t="s">
        <v>24</v>
      </c>
      <c r="M451" t="s">
        <v>19</v>
      </c>
      <c r="N451" t="str">
        <f>IF(SalesTbl[[#This Row],[Profit]]&gt;180,"High Profit","Low Profit")</f>
        <v>High Profit</v>
      </c>
      <c r="O451" t="str">
        <f>TEXT(SalesTbl[[#This Row],[Date]],"mmm")</f>
        <v>Feb</v>
      </c>
    </row>
    <row r="452" spans="1:15" x14ac:dyDescent="0.3">
      <c r="A452">
        <v>1411</v>
      </c>
      <c r="B452" t="s">
        <v>85</v>
      </c>
      <c r="C452" t="s">
        <v>40</v>
      </c>
      <c r="D452" t="s">
        <v>35</v>
      </c>
      <c r="E452" t="s">
        <v>41</v>
      </c>
      <c r="F452" t="s">
        <v>17</v>
      </c>
      <c r="G452">
        <v>9</v>
      </c>
      <c r="H452">
        <v>342</v>
      </c>
      <c r="I452">
        <v>3078</v>
      </c>
      <c r="J452">
        <v>2370</v>
      </c>
      <c r="K452">
        <v>708</v>
      </c>
      <c r="L452" t="s">
        <v>38</v>
      </c>
      <c r="M452" t="s">
        <v>29</v>
      </c>
      <c r="N452" t="str">
        <f>IF(SalesTbl[[#This Row],[Profit]]&gt;180,"High Profit","Low Profit")</f>
        <v>High Profit</v>
      </c>
      <c r="O452" t="str">
        <f>TEXT(SalesTbl[[#This Row],[Date]],"mmm")</f>
        <v>Jun</v>
      </c>
    </row>
    <row r="453" spans="1:15" x14ac:dyDescent="0.3">
      <c r="A453">
        <v>1452</v>
      </c>
      <c r="B453" t="s">
        <v>88</v>
      </c>
      <c r="C453" t="s">
        <v>14</v>
      </c>
      <c r="D453" t="s">
        <v>15</v>
      </c>
      <c r="E453" t="s">
        <v>54</v>
      </c>
      <c r="F453" t="s">
        <v>17</v>
      </c>
      <c r="G453">
        <v>1</v>
      </c>
      <c r="H453">
        <v>993</v>
      </c>
      <c r="I453">
        <v>993</v>
      </c>
      <c r="J453">
        <v>714</v>
      </c>
      <c r="K453">
        <v>279</v>
      </c>
      <c r="L453" t="s">
        <v>28</v>
      </c>
      <c r="M453" t="s">
        <v>19</v>
      </c>
      <c r="N453" t="str">
        <f>IF(SalesTbl[[#This Row],[Profit]]&gt;180,"High Profit","Low Profit")</f>
        <v>High Profit</v>
      </c>
      <c r="O453" t="str">
        <f>TEXT(SalesTbl[[#This Row],[Date]],"mmm")</f>
        <v>Feb</v>
      </c>
    </row>
    <row r="454" spans="1:15" x14ac:dyDescent="0.3">
      <c r="A454">
        <v>1453</v>
      </c>
      <c r="B454" t="s">
        <v>183</v>
      </c>
      <c r="C454" t="s">
        <v>21</v>
      </c>
      <c r="D454" t="s">
        <v>26</v>
      </c>
      <c r="E454" t="s">
        <v>22</v>
      </c>
      <c r="F454" t="s">
        <v>23</v>
      </c>
      <c r="G454">
        <v>4</v>
      </c>
      <c r="H454">
        <v>793</v>
      </c>
      <c r="I454">
        <v>3172</v>
      </c>
      <c r="J454">
        <v>2156</v>
      </c>
      <c r="K454">
        <v>1016</v>
      </c>
      <c r="L454" t="s">
        <v>24</v>
      </c>
      <c r="M454" t="s">
        <v>19</v>
      </c>
      <c r="N454" t="str">
        <f>IF(SalesTbl[[#This Row],[Profit]]&gt;180,"High Profit","Low Profit")</f>
        <v>High Profit</v>
      </c>
      <c r="O454" t="str">
        <f>TEXT(SalesTbl[[#This Row],[Date]],"mmm")</f>
        <v>Apr</v>
      </c>
    </row>
    <row r="455" spans="1:15" x14ac:dyDescent="0.3">
      <c r="A455">
        <v>1454</v>
      </c>
      <c r="B455" t="s">
        <v>105</v>
      </c>
      <c r="C455" t="s">
        <v>21</v>
      </c>
      <c r="D455" t="s">
        <v>26</v>
      </c>
      <c r="E455" t="s">
        <v>54</v>
      </c>
      <c r="F455" t="s">
        <v>17</v>
      </c>
      <c r="G455">
        <v>2</v>
      </c>
      <c r="H455">
        <v>595</v>
      </c>
      <c r="I455">
        <v>1190</v>
      </c>
      <c r="J455">
        <v>904</v>
      </c>
      <c r="K455">
        <v>286</v>
      </c>
      <c r="L455" t="s">
        <v>38</v>
      </c>
      <c r="M455" t="s">
        <v>29</v>
      </c>
      <c r="N455" t="str">
        <f>IF(SalesTbl[[#This Row],[Profit]]&gt;180,"High Profit","Low Profit")</f>
        <v>High Profit</v>
      </c>
      <c r="O455" t="str">
        <f>TEXT(SalesTbl[[#This Row],[Date]],"mmm")</f>
        <v>Jun</v>
      </c>
    </row>
    <row r="456" spans="1:15" x14ac:dyDescent="0.3">
      <c r="A456">
        <v>1455</v>
      </c>
      <c r="B456" t="s">
        <v>69</v>
      </c>
      <c r="C456" t="s">
        <v>14</v>
      </c>
      <c r="D456" t="s">
        <v>26</v>
      </c>
      <c r="E456" t="s">
        <v>41</v>
      </c>
      <c r="F456" t="s">
        <v>17</v>
      </c>
      <c r="G456">
        <v>9</v>
      </c>
      <c r="H456">
        <v>213</v>
      </c>
      <c r="I456">
        <v>1917</v>
      </c>
      <c r="J456">
        <v>1265</v>
      </c>
      <c r="K456">
        <v>652</v>
      </c>
      <c r="L456" t="s">
        <v>24</v>
      </c>
      <c r="M456" t="s">
        <v>29</v>
      </c>
      <c r="N456" t="str">
        <f>IF(SalesTbl[[#This Row],[Profit]]&gt;180,"High Profit","Low Profit")</f>
        <v>High Profit</v>
      </c>
      <c r="O456" t="str">
        <f>TEXT(SalesTbl[[#This Row],[Date]],"mmm")</f>
        <v>May</v>
      </c>
    </row>
    <row r="457" spans="1:15" x14ac:dyDescent="0.3">
      <c r="A457">
        <v>1456</v>
      </c>
      <c r="B457" t="s">
        <v>88</v>
      </c>
      <c r="C457" t="s">
        <v>21</v>
      </c>
      <c r="D457" t="s">
        <v>26</v>
      </c>
      <c r="E457" t="s">
        <v>41</v>
      </c>
      <c r="F457" t="s">
        <v>17</v>
      </c>
      <c r="G457">
        <v>2</v>
      </c>
      <c r="H457">
        <v>69</v>
      </c>
      <c r="I457">
        <v>138</v>
      </c>
      <c r="J457">
        <v>85</v>
      </c>
      <c r="K457">
        <v>53</v>
      </c>
      <c r="L457" t="s">
        <v>38</v>
      </c>
      <c r="M457" t="s">
        <v>19</v>
      </c>
      <c r="N457" t="str">
        <f>IF(SalesTbl[[#This Row],[Profit]]&gt;180,"High Profit","Low Profit")</f>
        <v>Low Profit</v>
      </c>
      <c r="O457" t="str">
        <f>TEXT(SalesTbl[[#This Row],[Date]],"mmm")</f>
        <v>Feb</v>
      </c>
    </row>
    <row r="458" spans="1:15" x14ac:dyDescent="0.3">
      <c r="A458">
        <v>1457</v>
      </c>
      <c r="B458" t="s">
        <v>123</v>
      </c>
      <c r="C458" t="s">
        <v>31</v>
      </c>
      <c r="D458" t="s">
        <v>26</v>
      </c>
      <c r="E458" t="s">
        <v>54</v>
      </c>
      <c r="F458" t="s">
        <v>17</v>
      </c>
      <c r="G458">
        <v>2</v>
      </c>
      <c r="H458">
        <v>695</v>
      </c>
      <c r="I458">
        <v>1390</v>
      </c>
      <c r="J458">
        <v>903</v>
      </c>
      <c r="K458">
        <v>487</v>
      </c>
      <c r="L458" t="s">
        <v>24</v>
      </c>
      <c r="M458" t="s">
        <v>19</v>
      </c>
      <c r="N458" t="str">
        <f>IF(SalesTbl[[#This Row],[Profit]]&gt;180,"High Profit","Low Profit")</f>
        <v>High Profit</v>
      </c>
      <c r="O458" t="str">
        <f>TEXT(SalesTbl[[#This Row],[Date]],"mmm")</f>
        <v>Jan</v>
      </c>
    </row>
    <row r="459" spans="1:15" x14ac:dyDescent="0.3">
      <c r="A459">
        <v>1458</v>
      </c>
      <c r="B459" t="s">
        <v>84</v>
      </c>
      <c r="C459" t="s">
        <v>21</v>
      </c>
      <c r="D459" t="s">
        <v>32</v>
      </c>
      <c r="E459" t="s">
        <v>48</v>
      </c>
      <c r="F459" t="s">
        <v>23</v>
      </c>
      <c r="G459">
        <v>2</v>
      </c>
      <c r="H459">
        <v>347</v>
      </c>
      <c r="I459">
        <v>694</v>
      </c>
      <c r="J459">
        <v>423</v>
      </c>
      <c r="K459">
        <v>271</v>
      </c>
      <c r="L459" t="s">
        <v>28</v>
      </c>
      <c r="M459" t="s">
        <v>29</v>
      </c>
      <c r="N459" t="str">
        <f>IF(SalesTbl[[#This Row],[Profit]]&gt;180,"High Profit","Low Profit")</f>
        <v>High Profit</v>
      </c>
      <c r="O459" t="str">
        <f>TEXT(SalesTbl[[#This Row],[Date]],"mmm")</f>
        <v>Apr</v>
      </c>
    </row>
    <row r="460" spans="1:15" x14ac:dyDescent="0.3">
      <c r="A460">
        <v>1459</v>
      </c>
      <c r="B460" t="s">
        <v>117</v>
      </c>
      <c r="C460" t="s">
        <v>21</v>
      </c>
      <c r="D460" t="s">
        <v>32</v>
      </c>
      <c r="E460" t="s">
        <v>41</v>
      </c>
      <c r="F460" t="s">
        <v>17</v>
      </c>
      <c r="G460">
        <v>9</v>
      </c>
      <c r="H460">
        <v>278</v>
      </c>
      <c r="I460">
        <v>2502</v>
      </c>
      <c r="J460">
        <v>1501</v>
      </c>
      <c r="K460">
        <v>1001</v>
      </c>
      <c r="L460" t="s">
        <v>24</v>
      </c>
      <c r="M460" t="s">
        <v>29</v>
      </c>
      <c r="N460" t="str">
        <f>IF(SalesTbl[[#This Row],[Profit]]&gt;180,"High Profit","Low Profit")</f>
        <v>High Profit</v>
      </c>
      <c r="O460" t="str">
        <f>TEXT(SalesTbl[[#This Row],[Date]],"mmm")</f>
        <v>Jun</v>
      </c>
    </row>
    <row r="461" spans="1:15" x14ac:dyDescent="0.3">
      <c r="A461">
        <v>1460</v>
      </c>
      <c r="B461" t="s">
        <v>75</v>
      </c>
      <c r="C461" t="s">
        <v>31</v>
      </c>
      <c r="D461" t="s">
        <v>35</v>
      </c>
      <c r="E461" t="s">
        <v>16</v>
      </c>
      <c r="F461" t="s">
        <v>17</v>
      </c>
      <c r="G461">
        <v>1</v>
      </c>
      <c r="H461">
        <v>451</v>
      </c>
      <c r="I461">
        <v>451</v>
      </c>
      <c r="J461">
        <v>270</v>
      </c>
      <c r="K461">
        <v>181</v>
      </c>
      <c r="L461" t="s">
        <v>18</v>
      </c>
      <c r="M461" t="s">
        <v>19</v>
      </c>
      <c r="N461" t="str">
        <f>IF(SalesTbl[[#This Row],[Profit]]&gt;180,"High Profit","Low Profit")</f>
        <v>High Profit</v>
      </c>
      <c r="O461" t="str">
        <f>TEXT(SalesTbl[[#This Row],[Date]],"mmm")</f>
        <v>Jun</v>
      </c>
    </row>
    <row r="462" spans="1:15" x14ac:dyDescent="0.3">
      <c r="A462">
        <v>1461</v>
      </c>
      <c r="B462" t="s">
        <v>129</v>
      </c>
      <c r="C462" t="s">
        <v>40</v>
      </c>
      <c r="D462" t="s">
        <v>15</v>
      </c>
      <c r="E462" t="s">
        <v>22</v>
      </c>
      <c r="F462" t="s">
        <v>23</v>
      </c>
      <c r="G462">
        <v>8</v>
      </c>
      <c r="H462">
        <v>65</v>
      </c>
      <c r="I462">
        <v>520</v>
      </c>
      <c r="J462">
        <v>338</v>
      </c>
      <c r="K462">
        <v>182</v>
      </c>
      <c r="L462" t="s">
        <v>33</v>
      </c>
      <c r="M462" t="s">
        <v>29</v>
      </c>
      <c r="N462" t="str">
        <f>IF(SalesTbl[[#This Row],[Profit]]&gt;180,"High Profit","Low Profit")</f>
        <v>High Profit</v>
      </c>
      <c r="O462" t="str">
        <f>TEXT(SalesTbl[[#This Row],[Date]],"mmm")</f>
        <v>Mar</v>
      </c>
    </row>
    <row r="463" spans="1:15" x14ac:dyDescent="0.3">
      <c r="A463">
        <v>1462</v>
      </c>
      <c r="B463" t="s">
        <v>52</v>
      </c>
      <c r="C463" t="s">
        <v>21</v>
      </c>
      <c r="D463" t="s">
        <v>26</v>
      </c>
      <c r="E463" t="s">
        <v>48</v>
      </c>
      <c r="F463" t="s">
        <v>23</v>
      </c>
      <c r="G463">
        <v>2</v>
      </c>
      <c r="H463">
        <v>855</v>
      </c>
      <c r="I463">
        <v>1710</v>
      </c>
      <c r="J463">
        <v>1350</v>
      </c>
      <c r="K463">
        <v>360</v>
      </c>
      <c r="L463" t="s">
        <v>18</v>
      </c>
      <c r="M463" t="s">
        <v>19</v>
      </c>
      <c r="N463" t="str">
        <f>IF(SalesTbl[[#This Row],[Profit]]&gt;180,"High Profit","Low Profit")</f>
        <v>High Profit</v>
      </c>
      <c r="O463" t="str">
        <f>TEXT(SalesTbl[[#This Row],[Date]],"mmm")</f>
        <v>Mar</v>
      </c>
    </row>
    <row r="464" spans="1:15" x14ac:dyDescent="0.3">
      <c r="A464">
        <v>1463</v>
      </c>
      <c r="B464" t="s">
        <v>103</v>
      </c>
      <c r="C464" t="s">
        <v>40</v>
      </c>
      <c r="D464" t="s">
        <v>15</v>
      </c>
      <c r="E464" t="s">
        <v>22</v>
      </c>
      <c r="F464" t="s">
        <v>23</v>
      </c>
      <c r="G464">
        <v>5</v>
      </c>
      <c r="H464">
        <v>309</v>
      </c>
      <c r="I464">
        <v>1545</v>
      </c>
      <c r="J464">
        <v>1189</v>
      </c>
      <c r="K464">
        <v>356</v>
      </c>
      <c r="L464" t="s">
        <v>33</v>
      </c>
      <c r="M464" t="s">
        <v>29</v>
      </c>
      <c r="N464" t="str">
        <f>IF(SalesTbl[[#This Row],[Profit]]&gt;180,"High Profit","Low Profit")</f>
        <v>High Profit</v>
      </c>
      <c r="O464" t="str">
        <f>TEXT(SalesTbl[[#This Row],[Date]],"mmm")</f>
        <v>Feb</v>
      </c>
    </row>
    <row r="465" spans="1:15" x14ac:dyDescent="0.3">
      <c r="A465">
        <v>1554</v>
      </c>
      <c r="B465" t="s">
        <v>176</v>
      </c>
      <c r="C465" t="s">
        <v>40</v>
      </c>
      <c r="D465" t="s">
        <v>35</v>
      </c>
      <c r="E465" t="s">
        <v>27</v>
      </c>
      <c r="F465" t="s">
        <v>17</v>
      </c>
      <c r="G465">
        <v>2</v>
      </c>
      <c r="H465">
        <v>975</v>
      </c>
      <c r="I465">
        <v>1950</v>
      </c>
      <c r="J465">
        <v>1267</v>
      </c>
      <c r="K465">
        <v>683</v>
      </c>
      <c r="L465" t="s">
        <v>18</v>
      </c>
      <c r="M465" t="s">
        <v>19</v>
      </c>
      <c r="N465" t="str">
        <f>IF(SalesTbl[[#This Row],[Profit]]&gt;180,"High Profit","Low Profit")</f>
        <v>High Profit</v>
      </c>
      <c r="O465" t="str">
        <f>TEXT(SalesTbl[[#This Row],[Date]],"mmm")</f>
        <v>Jan</v>
      </c>
    </row>
    <row r="466" spans="1:15" x14ac:dyDescent="0.3">
      <c r="A466">
        <v>1465</v>
      </c>
      <c r="B466" t="s">
        <v>142</v>
      </c>
      <c r="C466" t="s">
        <v>31</v>
      </c>
      <c r="D466" t="s">
        <v>35</v>
      </c>
      <c r="E466" t="s">
        <v>54</v>
      </c>
      <c r="F466" t="s">
        <v>17</v>
      </c>
      <c r="G466">
        <v>6</v>
      </c>
      <c r="H466">
        <v>954</v>
      </c>
      <c r="I466">
        <v>5724</v>
      </c>
      <c r="J466">
        <v>3434</v>
      </c>
      <c r="K466">
        <v>2290</v>
      </c>
      <c r="L466" t="s">
        <v>28</v>
      </c>
      <c r="M466" t="s">
        <v>19</v>
      </c>
      <c r="N466" t="str">
        <f>IF(SalesTbl[[#This Row],[Profit]]&gt;180,"High Profit","Low Profit")</f>
        <v>High Profit</v>
      </c>
      <c r="O466" t="str">
        <f>TEXT(SalesTbl[[#This Row],[Date]],"mmm")</f>
        <v>Mar</v>
      </c>
    </row>
    <row r="467" spans="1:15" x14ac:dyDescent="0.3">
      <c r="A467">
        <v>1466</v>
      </c>
      <c r="B467" t="s">
        <v>165</v>
      </c>
      <c r="C467" t="s">
        <v>14</v>
      </c>
      <c r="D467" t="s">
        <v>15</v>
      </c>
      <c r="E467" t="s">
        <v>41</v>
      </c>
      <c r="F467" t="s">
        <v>17</v>
      </c>
      <c r="G467">
        <v>3</v>
      </c>
      <c r="H467">
        <v>656</v>
      </c>
      <c r="I467">
        <v>1968</v>
      </c>
      <c r="J467">
        <v>1436</v>
      </c>
      <c r="K467">
        <v>532</v>
      </c>
      <c r="L467" t="s">
        <v>18</v>
      </c>
      <c r="M467" t="s">
        <v>29</v>
      </c>
      <c r="N467" t="str">
        <f>IF(SalesTbl[[#This Row],[Profit]]&gt;180,"High Profit","Low Profit")</f>
        <v>High Profit</v>
      </c>
      <c r="O467" t="str">
        <f>TEXT(SalesTbl[[#This Row],[Date]],"mmm")</f>
        <v>Mar</v>
      </c>
    </row>
    <row r="468" spans="1:15" x14ac:dyDescent="0.3">
      <c r="A468">
        <v>1467</v>
      </c>
      <c r="B468" t="s">
        <v>194</v>
      </c>
      <c r="C468" t="s">
        <v>31</v>
      </c>
      <c r="D468" t="s">
        <v>32</v>
      </c>
      <c r="E468" t="s">
        <v>54</v>
      </c>
      <c r="F468" t="s">
        <v>17</v>
      </c>
      <c r="G468">
        <v>2</v>
      </c>
      <c r="H468">
        <v>835</v>
      </c>
      <c r="I468">
        <v>1670</v>
      </c>
      <c r="J468">
        <v>1018</v>
      </c>
      <c r="K468">
        <v>652</v>
      </c>
      <c r="L468" t="s">
        <v>38</v>
      </c>
      <c r="M468" t="s">
        <v>19</v>
      </c>
      <c r="N468" t="str">
        <f>IF(SalesTbl[[#This Row],[Profit]]&gt;180,"High Profit","Low Profit")</f>
        <v>High Profit</v>
      </c>
      <c r="O468" t="str">
        <f>TEXT(SalesTbl[[#This Row],[Date]],"mmm")</f>
        <v>Apr</v>
      </c>
    </row>
    <row r="469" spans="1:15" x14ac:dyDescent="0.3">
      <c r="A469">
        <v>1468</v>
      </c>
      <c r="B469" t="s">
        <v>109</v>
      </c>
      <c r="C469" t="s">
        <v>21</v>
      </c>
      <c r="D469" t="s">
        <v>15</v>
      </c>
      <c r="E469" t="s">
        <v>16</v>
      </c>
      <c r="F469" t="s">
        <v>17</v>
      </c>
      <c r="G469">
        <v>3</v>
      </c>
      <c r="H469">
        <v>542</v>
      </c>
      <c r="I469">
        <v>1626</v>
      </c>
      <c r="J469">
        <v>1008</v>
      </c>
      <c r="K469">
        <v>618</v>
      </c>
      <c r="L469" t="s">
        <v>24</v>
      </c>
      <c r="M469" t="s">
        <v>29</v>
      </c>
      <c r="N469" t="str">
        <f>IF(SalesTbl[[#This Row],[Profit]]&gt;180,"High Profit","Low Profit")</f>
        <v>High Profit</v>
      </c>
      <c r="O469" t="str">
        <f>TEXT(SalesTbl[[#This Row],[Date]],"mmm")</f>
        <v>Apr</v>
      </c>
    </row>
    <row r="470" spans="1:15" x14ac:dyDescent="0.3">
      <c r="A470">
        <v>1469</v>
      </c>
      <c r="B470" t="s">
        <v>205</v>
      </c>
      <c r="C470" t="s">
        <v>21</v>
      </c>
      <c r="D470" t="s">
        <v>32</v>
      </c>
      <c r="E470" t="s">
        <v>16</v>
      </c>
      <c r="F470" t="s">
        <v>17</v>
      </c>
      <c r="G470">
        <v>7</v>
      </c>
      <c r="H470">
        <v>905</v>
      </c>
      <c r="I470">
        <v>6335</v>
      </c>
      <c r="J470">
        <v>4307</v>
      </c>
      <c r="K470">
        <v>2028</v>
      </c>
      <c r="L470" t="s">
        <v>24</v>
      </c>
      <c r="M470" t="s">
        <v>29</v>
      </c>
      <c r="N470" t="str">
        <f>IF(SalesTbl[[#This Row],[Profit]]&gt;180,"High Profit","Low Profit")</f>
        <v>High Profit</v>
      </c>
      <c r="O470" t="str">
        <f>TEXT(SalesTbl[[#This Row],[Date]],"mmm")</f>
        <v>Feb</v>
      </c>
    </row>
    <row r="471" spans="1:15" x14ac:dyDescent="0.3">
      <c r="A471">
        <v>1470</v>
      </c>
      <c r="B471" t="s">
        <v>169</v>
      </c>
      <c r="C471" t="s">
        <v>21</v>
      </c>
      <c r="D471" t="s">
        <v>26</v>
      </c>
      <c r="E471" t="s">
        <v>48</v>
      </c>
      <c r="F471" t="s">
        <v>23</v>
      </c>
      <c r="G471">
        <v>5</v>
      </c>
      <c r="H471">
        <v>218</v>
      </c>
      <c r="I471">
        <v>1090</v>
      </c>
      <c r="J471">
        <v>773</v>
      </c>
      <c r="K471">
        <v>317</v>
      </c>
      <c r="L471" t="s">
        <v>18</v>
      </c>
      <c r="M471" t="s">
        <v>19</v>
      </c>
      <c r="N471" t="str">
        <f>IF(SalesTbl[[#This Row],[Profit]]&gt;180,"High Profit","Low Profit")</f>
        <v>High Profit</v>
      </c>
      <c r="O471" t="str">
        <f>TEXT(SalesTbl[[#This Row],[Date]],"mmm")</f>
        <v>May</v>
      </c>
    </row>
    <row r="472" spans="1:15" x14ac:dyDescent="0.3">
      <c r="A472">
        <v>1471</v>
      </c>
      <c r="B472" t="s">
        <v>25</v>
      </c>
      <c r="C472" t="s">
        <v>21</v>
      </c>
      <c r="D472" t="s">
        <v>15</v>
      </c>
      <c r="E472" t="s">
        <v>16</v>
      </c>
      <c r="F472" t="s">
        <v>17</v>
      </c>
      <c r="G472">
        <v>1</v>
      </c>
      <c r="H472">
        <v>294</v>
      </c>
      <c r="I472">
        <v>294</v>
      </c>
      <c r="J472">
        <v>176</v>
      </c>
      <c r="K472">
        <v>118</v>
      </c>
      <c r="L472" t="s">
        <v>28</v>
      </c>
      <c r="M472" t="s">
        <v>29</v>
      </c>
      <c r="N472" t="str">
        <f>IF(SalesTbl[[#This Row],[Profit]]&gt;180,"High Profit","Low Profit")</f>
        <v>Low Profit</v>
      </c>
      <c r="O472" t="str">
        <f>TEXT(SalesTbl[[#This Row],[Date]],"mmm")</f>
        <v>Feb</v>
      </c>
    </row>
    <row r="473" spans="1:15" x14ac:dyDescent="0.3">
      <c r="A473">
        <v>1472</v>
      </c>
      <c r="B473" t="s">
        <v>87</v>
      </c>
      <c r="C473" t="s">
        <v>31</v>
      </c>
      <c r="D473" t="s">
        <v>26</v>
      </c>
      <c r="E473" t="s">
        <v>54</v>
      </c>
      <c r="F473" t="s">
        <v>17</v>
      </c>
      <c r="G473">
        <v>9</v>
      </c>
      <c r="H473">
        <v>916</v>
      </c>
      <c r="I473">
        <v>8244</v>
      </c>
      <c r="J473">
        <v>5523</v>
      </c>
      <c r="K473">
        <v>2721</v>
      </c>
      <c r="L473" t="s">
        <v>24</v>
      </c>
      <c r="M473" t="s">
        <v>19</v>
      </c>
      <c r="N473" t="str">
        <f>IF(SalesTbl[[#This Row],[Profit]]&gt;180,"High Profit","Low Profit")</f>
        <v>High Profit</v>
      </c>
      <c r="O473" t="str">
        <f>TEXT(SalesTbl[[#This Row],[Date]],"mmm")</f>
        <v>Feb</v>
      </c>
    </row>
    <row r="474" spans="1:15" x14ac:dyDescent="0.3">
      <c r="A474">
        <v>1798</v>
      </c>
      <c r="B474" t="s">
        <v>101</v>
      </c>
      <c r="C474" t="s">
        <v>40</v>
      </c>
      <c r="D474" t="s">
        <v>15</v>
      </c>
      <c r="E474" t="s">
        <v>41</v>
      </c>
      <c r="F474" t="s">
        <v>17</v>
      </c>
      <c r="G474">
        <v>6</v>
      </c>
      <c r="H474">
        <v>529</v>
      </c>
      <c r="I474">
        <v>3174</v>
      </c>
      <c r="J474">
        <v>2507</v>
      </c>
      <c r="K474">
        <v>667</v>
      </c>
      <c r="L474" t="s">
        <v>18</v>
      </c>
      <c r="M474" t="s">
        <v>19</v>
      </c>
      <c r="N474" t="str">
        <f>IF(SalesTbl[[#This Row],[Profit]]&gt;180,"High Profit","Low Profit")</f>
        <v>High Profit</v>
      </c>
      <c r="O474" t="str">
        <f>TEXT(SalesTbl[[#This Row],[Date]],"mmm")</f>
        <v>Feb</v>
      </c>
    </row>
    <row r="475" spans="1:15" x14ac:dyDescent="0.3">
      <c r="A475">
        <v>1474</v>
      </c>
      <c r="B475" t="s">
        <v>62</v>
      </c>
      <c r="C475" t="s">
        <v>14</v>
      </c>
      <c r="D475" t="s">
        <v>26</v>
      </c>
      <c r="E475" t="s">
        <v>27</v>
      </c>
      <c r="F475" t="s">
        <v>17</v>
      </c>
      <c r="G475">
        <v>2</v>
      </c>
      <c r="H475">
        <v>682</v>
      </c>
      <c r="I475">
        <v>1364</v>
      </c>
      <c r="J475">
        <v>845</v>
      </c>
      <c r="K475">
        <v>519</v>
      </c>
      <c r="L475" t="s">
        <v>28</v>
      </c>
      <c r="M475" t="s">
        <v>29</v>
      </c>
      <c r="N475" t="str">
        <f>IF(SalesTbl[[#This Row],[Profit]]&gt;180,"High Profit","Low Profit")</f>
        <v>High Profit</v>
      </c>
      <c r="O475" t="str">
        <f>TEXT(SalesTbl[[#This Row],[Date]],"mmm")</f>
        <v>May</v>
      </c>
    </row>
    <row r="476" spans="1:15" x14ac:dyDescent="0.3">
      <c r="A476">
        <v>1475</v>
      </c>
      <c r="B476" t="s">
        <v>132</v>
      </c>
      <c r="C476" t="s">
        <v>14</v>
      </c>
      <c r="D476" t="s">
        <v>26</v>
      </c>
      <c r="E476" t="s">
        <v>16</v>
      </c>
      <c r="F476" t="s">
        <v>17</v>
      </c>
      <c r="G476">
        <v>7</v>
      </c>
      <c r="H476">
        <v>780</v>
      </c>
      <c r="I476">
        <v>5460</v>
      </c>
      <c r="J476">
        <v>4368</v>
      </c>
      <c r="K476">
        <v>1092</v>
      </c>
      <c r="L476" t="s">
        <v>33</v>
      </c>
      <c r="M476" t="s">
        <v>29</v>
      </c>
      <c r="N476" t="str">
        <f>IF(SalesTbl[[#This Row],[Profit]]&gt;180,"High Profit","Low Profit")</f>
        <v>High Profit</v>
      </c>
      <c r="O476" t="str">
        <f>TEXT(SalesTbl[[#This Row],[Date]],"mmm")</f>
        <v>Jan</v>
      </c>
    </row>
    <row r="477" spans="1:15" x14ac:dyDescent="0.3">
      <c r="A477">
        <v>1829</v>
      </c>
      <c r="B477" t="s">
        <v>162</v>
      </c>
      <c r="C477" t="s">
        <v>40</v>
      </c>
      <c r="D477" t="s">
        <v>26</v>
      </c>
      <c r="E477" t="s">
        <v>54</v>
      </c>
      <c r="F477" t="s">
        <v>17</v>
      </c>
      <c r="G477">
        <v>3</v>
      </c>
      <c r="H477">
        <v>714</v>
      </c>
      <c r="I477">
        <v>2142</v>
      </c>
      <c r="J477">
        <v>1477</v>
      </c>
      <c r="K477">
        <v>665</v>
      </c>
      <c r="L477" t="s">
        <v>24</v>
      </c>
      <c r="M477" t="s">
        <v>29</v>
      </c>
      <c r="N477" t="str">
        <f>IF(SalesTbl[[#This Row],[Profit]]&gt;180,"High Profit","Low Profit")</f>
        <v>High Profit</v>
      </c>
      <c r="O477" t="str">
        <f>TEXT(SalesTbl[[#This Row],[Date]],"mmm")</f>
        <v>Apr</v>
      </c>
    </row>
    <row r="478" spans="1:15" x14ac:dyDescent="0.3">
      <c r="A478">
        <v>1477</v>
      </c>
      <c r="B478" t="s">
        <v>173</v>
      </c>
      <c r="C478" t="s">
        <v>21</v>
      </c>
      <c r="D478" t="s">
        <v>35</v>
      </c>
      <c r="E478" t="s">
        <v>54</v>
      </c>
      <c r="F478" t="s">
        <v>17</v>
      </c>
      <c r="G478">
        <v>6</v>
      </c>
      <c r="H478">
        <v>356</v>
      </c>
      <c r="I478">
        <v>2136</v>
      </c>
      <c r="J478">
        <v>1409</v>
      </c>
      <c r="K478">
        <v>727</v>
      </c>
      <c r="L478" t="s">
        <v>38</v>
      </c>
      <c r="M478" t="s">
        <v>29</v>
      </c>
      <c r="N478" t="str">
        <f>IF(SalesTbl[[#This Row],[Profit]]&gt;180,"High Profit","Low Profit")</f>
        <v>High Profit</v>
      </c>
      <c r="O478" t="str">
        <f>TEXT(SalesTbl[[#This Row],[Date]],"mmm")</f>
        <v>Feb</v>
      </c>
    </row>
    <row r="479" spans="1:15" x14ac:dyDescent="0.3">
      <c r="A479">
        <v>1478</v>
      </c>
      <c r="B479" t="s">
        <v>199</v>
      </c>
      <c r="C479" t="s">
        <v>31</v>
      </c>
      <c r="D479" t="s">
        <v>15</v>
      </c>
      <c r="E479" t="s">
        <v>54</v>
      </c>
      <c r="F479" t="s">
        <v>17</v>
      </c>
      <c r="G479">
        <v>7</v>
      </c>
      <c r="H479">
        <v>916</v>
      </c>
      <c r="I479">
        <v>6412</v>
      </c>
      <c r="J479">
        <v>4873</v>
      </c>
      <c r="K479">
        <v>1539</v>
      </c>
      <c r="L479" t="s">
        <v>33</v>
      </c>
      <c r="M479" t="s">
        <v>29</v>
      </c>
      <c r="N479" t="str">
        <f>IF(SalesTbl[[#This Row],[Profit]]&gt;180,"High Profit","Low Profit")</f>
        <v>High Profit</v>
      </c>
      <c r="O479" t="str">
        <f>TEXT(SalesTbl[[#This Row],[Date]],"mmm")</f>
        <v>Apr</v>
      </c>
    </row>
    <row r="480" spans="1:15" x14ac:dyDescent="0.3">
      <c r="A480">
        <v>1479</v>
      </c>
      <c r="B480" t="s">
        <v>144</v>
      </c>
      <c r="C480" t="s">
        <v>14</v>
      </c>
      <c r="D480" t="s">
        <v>35</v>
      </c>
      <c r="E480" t="s">
        <v>27</v>
      </c>
      <c r="F480" t="s">
        <v>17</v>
      </c>
      <c r="G480">
        <v>5</v>
      </c>
      <c r="H480">
        <v>311</v>
      </c>
      <c r="I480">
        <v>1555</v>
      </c>
      <c r="J480">
        <v>1041</v>
      </c>
      <c r="K480">
        <v>514</v>
      </c>
      <c r="L480" t="s">
        <v>28</v>
      </c>
      <c r="M480" t="s">
        <v>29</v>
      </c>
      <c r="N480" t="str">
        <f>IF(SalesTbl[[#This Row],[Profit]]&gt;180,"High Profit","Low Profit")</f>
        <v>High Profit</v>
      </c>
      <c r="O480" t="str">
        <f>TEXT(SalesTbl[[#This Row],[Date]],"mmm")</f>
        <v>Mar</v>
      </c>
    </row>
    <row r="481" spans="1:15" x14ac:dyDescent="0.3">
      <c r="A481">
        <v>1830</v>
      </c>
      <c r="B481" t="s">
        <v>121</v>
      </c>
      <c r="C481" t="s">
        <v>40</v>
      </c>
      <c r="D481" t="s">
        <v>26</v>
      </c>
      <c r="E481" t="s">
        <v>41</v>
      </c>
      <c r="F481" t="s">
        <v>17</v>
      </c>
      <c r="G481">
        <v>2</v>
      </c>
      <c r="H481">
        <v>860</v>
      </c>
      <c r="I481">
        <v>1720</v>
      </c>
      <c r="J481">
        <v>1066</v>
      </c>
      <c r="K481">
        <v>654</v>
      </c>
      <c r="L481" t="s">
        <v>33</v>
      </c>
      <c r="M481" t="s">
        <v>29</v>
      </c>
      <c r="N481" t="str">
        <f>IF(SalesTbl[[#This Row],[Profit]]&gt;180,"High Profit","Low Profit")</f>
        <v>High Profit</v>
      </c>
      <c r="O481" t="str">
        <f>TEXT(SalesTbl[[#This Row],[Date]],"mmm")</f>
        <v>Feb</v>
      </c>
    </row>
    <row r="482" spans="1:15" x14ac:dyDescent="0.3">
      <c r="A482">
        <v>1481</v>
      </c>
      <c r="B482" t="s">
        <v>76</v>
      </c>
      <c r="C482" t="s">
        <v>21</v>
      </c>
      <c r="D482" t="s">
        <v>32</v>
      </c>
      <c r="E482" t="s">
        <v>41</v>
      </c>
      <c r="F482" t="s">
        <v>17</v>
      </c>
      <c r="G482">
        <v>1</v>
      </c>
      <c r="H482">
        <v>654</v>
      </c>
      <c r="I482">
        <v>654</v>
      </c>
      <c r="J482">
        <v>457</v>
      </c>
      <c r="K482">
        <v>197</v>
      </c>
      <c r="L482" t="s">
        <v>33</v>
      </c>
      <c r="M482" t="s">
        <v>19</v>
      </c>
      <c r="N482" t="str">
        <f>IF(SalesTbl[[#This Row],[Profit]]&gt;180,"High Profit","Low Profit")</f>
        <v>High Profit</v>
      </c>
      <c r="O482" t="str">
        <f>TEXT(SalesTbl[[#This Row],[Date]],"mmm")</f>
        <v>Jun</v>
      </c>
    </row>
    <row r="483" spans="1:15" x14ac:dyDescent="0.3">
      <c r="A483">
        <v>1482</v>
      </c>
      <c r="B483" t="s">
        <v>140</v>
      </c>
      <c r="C483" t="s">
        <v>21</v>
      </c>
      <c r="D483" t="s">
        <v>32</v>
      </c>
      <c r="E483" t="s">
        <v>22</v>
      </c>
      <c r="F483" t="s">
        <v>23</v>
      </c>
      <c r="G483">
        <v>4</v>
      </c>
      <c r="H483">
        <v>441</v>
      </c>
      <c r="I483">
        <v>1764</v>
      </c>
      <c r="J483">
        <v>1323</v>
      </c>
      <c r="K483">
        <v>441</v>
      </c>
      <c r="L483" t="s">
        <v>24</v>
      </c>
      <c r="M483" t="s">
        <v>29</v>
      </c>
      <c r="N483" t="str">
        <f>IF(SalesTbl[[#This Row],[Profit]]&gt;180,"High Profit","Low Profit")</f>
        <v>High Profit</v>
      </c>
      <c r="O483" t="str">
        <f>TEXT(SalesTbl[[#This Row],[Date]],"mmm")</f>
        <v>May</v>
      </c>
    </row>
    <row r="484" spans="1:15" x14ac:dyDescent="0.3">
      <c r="A484">
        <v>1483</v>
      </c>
      <c r="B484" t="s">
        <v>49</v>
      </c>
      <c r="C484" t="s">
        <v>21</v>
      </c>
      <c r="D484" t="s">
        <v>15</v>
      </c>
      <c r="E484" t="s">
        <v>48</v>
      </c>
      <c r="F484" t="s">
        <v>23</v>
      </c>
      <c r="G484">
        <v>2</v>
      </c>
      <c r="H484">
        <v>808</v>
      </c>
      <c r="I484">
        <v>1616</v>
      </c>
      <c r="J484">
        <v>1260</v>
      </c>
      <c r="K484">
        <v>356</v>
      </c>
      <c r="L484" t="s">
        <v>18</v>
      </c>
      <c r="M484" t="s">
        <v>29</v>
      </c>
      <c r="N484" t="str">
        <f>IF(SalesTbl[[#This Row],[Profit]]&gt;180,"High Profit","Low Profit")</f>
        <v>High Profit</v>
      </c>
      <c r="O484" t="str">
        <f>TEXT(SalesTbl[[#This Row],[Date]],"mmm")</f>
        <v>Jan</v>
      </c>
    </row>
    <row r="485" spans="1:15" x14ac:dyDescent="0.3">
      <c r="A485">
        <v>1484</v>
      </c>
      <c r="B485" t="s">
        <v>136</v>
      </c>
      <c r="C485" t="s">
        <v>14</v>
      </c>
      <c r="D485" t="s">
        <v>35</v>
      </c>
      <c r="E485" t="s">
        <v>16</v>
      </c>
      <c r="F485" t="s">
        <v>17</v>
      </c>
      <c r="G485">
        <v>3</v>
      </c>
      <c r="H485">
        <v>450</v>
      </c>
      <c r="I485">
        <v>1350</v>
      </c>
      <c r="J485">
        <v>1039</v>
      </c>
      <c r="K485">
        <v>311</v>
      </c>
      <c r="L485" t="s">
        <v>24</v>
      </c>
      <c r="M485" t="s">
        <v>29</v>
      </c>
      <c r="N485" t="str">
        <f>IF(SalesTbl[[#This Row],[Profit]]&gt;180,"High Profit","Low Profit")</f>
        <v>High Profit</v>
      </c>
      <c r="O485" t="str">
        <f>TEXT(SalesTbl[[#This Row],[Date]],"mmm")</f>
        <v>Feb</v>
      </c>
    </row>
    <row r="486" spans="1:15" x14ac:dyDescent="0.3">
      <c r="A486">
        <v>1485</v>
      </c>
      <c r="B486" t="s">
        <v>147</v>
      </c>
      <c r="C486" t="s">
        <v>14</v>
      </c>
      <c r="D486" t="s">
        <v>32</v>
      </c>
      <c r="E486" t="s">
        <v>22</v>
      </c>
      <c r="F486" t="s">
        <v>23</v>
      </c>
      <c r="G486">
        <v>1</v>
      </c>
      <c r="H486">
        <v>373</v>
      </c>
      <c r="I486">
        <v>373</v>
      </c>
      <c r="J486">
        <v>249</v>
      </c>
      <c r="K486">
        <v>124</v>
      </c>
      <c r="L486" t="s">
        <v>24</v>
      </c>
      <c r="M486" t="s">
        <v>29</v>
      </c>
      <c r="N486" t="str">
        <f>IF(SalesTbl[[#This Row],[Profit]]&gt;180,"High Profit","Low Profit")</f>
        <v>Low Profit</v>
      </c>
      <c r="O486" t="str">
        <f>TEXT(SalesTbl[[#This Row],[Date]],"mmm")</f>
        <v>Jan</v>
      </c>
    </row>
    <row r="487" spans="1:15" x14ac:dyDescent="0.3">
      <c r="A487">
        <v>1486</v>
      </c>
      <c r="B487" t="s">
        <v>76</v>
      </c>
      <c r="C487" t="s">
        <v>14</v>
      </c>
      <c r="D487" t="s">
        <v>35</v>
      </c>
      <c r="E487" t="s">
        <v>27</v>
      </c>
      <c r="F487" t="s">
        <v>17</v>
      </c>
      <c r="G487">
        <v>5</v>
      </c>
      <c r="H487">
        <v>992</v>
      </c>
      <c r="I487">
        <v>4960</v>
      </c>
      <c r="J487">
        <v>3918</v>
      </c>
      <c r="K487">
        <v>1042</v>
      </c>
      <c r="L487" t="s">
        <v>38</v>
      </c>
      <c r="M487" t="s">
        <v>29</v>
      </c>
      <c r="N487" t="str">
        <f>IF(SalesTbl[[#This Row],[Profit]]&gt;180,"High Profit","Low Profit")</f>
        <v>High Profit</v>
      </c>
      <c r="O487" t="str">
        <f>TEXT(SalesTbl[[#This Row],[Date]],"mmm")</f>
        <v>Jun</v>
      </c>
    </row>
    <row r="488" spans="1:15" x14ac:dyDescent="0.3">
      <c r="A488">
        <v>1137</v>
      </c>
      <c r="B488" t="s">
        <v>132</v>
      </c>
      <c r="C488" t="s">
        <v>40</v>
      </c>
      <c r="D488" t="s">
        <v>32</v>
      </c>
      <c r="E488" t="s">
        <v>41</v>
      </c>
      <c r="F488" t="s">
        <v>17</v>
      </c>
      <c r="G488">
        <v>7</v>
      </c>
      <c r="H488">
        <v>373</v>
      </c>
      <c r="I488">
        <v>2611</v>
      </c>
      <c r="J488">
        <v>1958</v>
      </c>
      <c r="K488">
        <v>653</v>
      </c>
      <c r="L488" t="s">
        <v>24</v>
      </c>
      <c r="M488" t="s">
        <v>29</v>
      </c>
      <c r="N488" t="str">
        <f>IF(SalesTbl[[#This Row],[Profit]]&gt;180,"High Profit","Low Profit")</f>
        <v>High Profit</v>
      </c>
      <c r="O488" t="str">
        <f>TEXT(SalesTbl[[#This Row],[Date]],"mmm")</f>
        <v>Jan</v>
      </c>
    </row>
    <row r="489" spans="1:15" x14ac:dyDescent="0.3">
      <c r="A489">
        <v>1488</v>
      </c>
      <c r="B489" t="s">
        <v>194</v>
      </c>
      <c r="C489" t="s">
        <v>14</v>
      </c>
      <c r="D489" t="s">
        <v>15</v>
      </c>
      <c r="E489" t="s">
        <v>16</v>
      </c>
      <c r="F489" t="s">
        <v>17</v>
      </c>
      <c r="G489">
        <v>3</v>
      </c>
      <c r="H489">
        <v>575</v>
      </c>
      <c r="I489">
        <v>1725</v>
      </c>
      <c r="J489">
        <v>1035</v>
      </c>
      <c r="K489">
        <v>690</v>
      </c>
      <c r="L489" t="s">
        <v>24</v>
      </c>
      <c r="M489" t="s">
        <v>29</v>
      </c>
      <c r="N489" t="str">
        <f>IF(SalesTbl[[#This Row],[Profit]]&gt;180,"High Profit","Low Profit")</f>
        <v>High Profit</v>
      </c>
      <c r="O489" t="str">
        <f>TEXT(SalesTbl[[#This Row],[Date]],"mmm")</f>
        <v>Apr</v>
      </c>
    </row>
    <row r="490" spans="1:15" x14ac:dyDescent="0.3">
      <c r="A490">
        <v>1489</v>
      </c>
      <c r="B490" t="s">
        <v>36</v>
      </c>
      <c r="C490" t="s">
        <v>40</v>
      </c>
      <c r="D490" t="s">
        <v>26</v>
      </c>
      <c r="E490" t="s">
        <v>48</v>
      </c>
      <c r="F490" t="s">
        <v>23</v>
      </c>
      <c r="G490">
        <v>8</v>
      </c>
      <c r="H490">
        <v>758</v>
      </c>
      <c r="I490">
        <v>6064</v>
      </c>
      <c r="J490">
        <v>4548</v>
      </c>
      <c r="K490">
        <v>1516</v>
      </c>
      <c r="L490" t="s">
        <v>38</v>
      </c>
      <c r="M490" t="s">
        <v>19</v>
      </c>
      <c r="N490" t="str">
        <f>IF(SalesTbl[[#This Row],[Profit]]&gt;180,"High Profit","Low Profit")</f>
        <v>High Profit</v>
      </c>
      <c r="O490" t="str">
        <f>TEXT(SalesTbl[[#This Row],[Date]],"mmm")</f>
        <v>May</v>
      </c>
    </row>
    <row r="491" spans="1:15" x14ac:dyDescent="0.3">
      <c r="A491">
        <v>1490</v>
      </c>
      <c r="B491" t="s">
        <v>206</v>
      </c>
      <c r="C491" t="s">
        <v>14</v>
      </c>
      <c r="D491" t="s">
        <v>35</v>
      </c>
      <c r="E491" t="s">
        <v>27</v>
      </c>
      <c r="F491" t="s">
        <v>17</v>
      </c>
      <c r="G491">
        <v>8</v>
      </c>
      <c r="H491">
        <v>604</v>
      </c>
      <c r="I491">
        <v>4832</v>
      </c>
      <c r="J491">
        <v>3575</v>
      </c>
      <c r="K491">
        <v>1257</v>
      </c>
      <c r="L491" t="s">
        <v>38</v>
      </c>
      <c r="M491" t="s">
        <v>19</v>
      </c>
      <c r="N491" t="str">
        <f>IF(SalesTbl[[#This Row],[Profit]]&gt;180,"High Profit","Low Profit")</f>
        <v>High Profit</v>
      </c>
      <c r="O491" t="str">
        <f>TEXT(SalesTbl[[#This Row],[Date]],"mmm")</f>
        <v>May</v>
      </c>
    </row>
    <row r="492" spans="1:15" x14ac:dyDescent="0.3">
      <c r="A492">
        <v>1491</v>
      </c>
      <c r="B492" t="s">
        <v>106</v>
      </c>
      <c r="C492" t="s">
        <v>14</v>
      </c>
      <c r="D492" t="s">
        <v>35</v>
      </c>
      <c r="E492" t="s">
        <v>27</v>
      </c>
      <c r="F492" t="s">
        <v>17</v>
      </c>
      <c r="G492">
        <v>10</v>
      </c>
      <c r="H492">
        <v>592</v>
      </c>
      <c r="I492">
        <v>5920</v>
      </c>
      <c r="J492">
        <v>4558</v>
      </c>
      <c r="K492">
        <v>1362</v>
      </c>
      <c r="L492" t="s">
        <v>18</v>
      </c>
      <c r="M492" t="s">
        <v>29</v>
      </c>
      <c r="N492" t="str">
        <f>IF(SalesTbl[[#This Row],[Profit]]&gt;180,"High Profit","Low Profit")</f>
        <v>High Profit</v>
      </c>
      <c r="O492" t="str">
        <f>TEXT(SalesTbl[[#This Row],[Date]],"mmm")</f>
        <v>May</v>
      </c>
    </row>
    <row r="493" spans="1:15" x14ac:dyDescent="0.3">
      <c r="A493">
        <v>1492</v>
      </c>
      <c r="B493" t="s">
        <v>99</v>
      </c>
      <c r="C493" t="s">
        <v>40</v>
      </c>
      <c r="D493" t="s">
        <v>32</v>
      </c>
      <c r="E493" t="s">
        <v>48</v>
      </c>
      <c r="F493" t="s">
        <v>23</v>
      </c>
      <c r="G493">
        <v>2</v>
      </c>
      <c r="H493">
        <v>515</v>
      </c>
      <c r="I493">
        <v>1030</v>
      </c>
      <c r="J493">
        <v>648</v>
      </c>
      <c r="K493">
        <v>382</v>
      </c>
      <c r="L493" t="s">
        <v>38</v>
      </c>
      <c r="M493" t="s">
        <v>29</v>
      </c>
      <c r="N493" t="str">
        <f>IF(SalesTbl[[#This Row],[Profit]]&gt;180,"High Profit","Low Profit")</f>
        <v>High Profit</v>
      </c>
      <c r="O493" t="str">
        <f>TEXT(SalesTbl[[#This Row],[Date]],"mmm")</f>
        <v>Jun</v>
      </c>
    </row>
    <row r="494" spans="1:15" x14ac:dyDescent="0.3">
      <c r="A494">
        <v>1493</v>
      </c>
      <c r="B494" t="s">
        <v>186</v>
      </c>
      <c r="C494" t="s">
        <v>21</v>
      </c>
      <c r="D494" t="s">
        <v>35</v>
      </c>
      <c r="E494" t="s">
        <v>54</v>
      </c>
      <c r="F494" t="s">
        <v>17</v>
      </c>
      <c r="G494">
        <v>4</v>
      </c>
      <c r="H494">
        <v>482</v>
      </c>
      <c r="I494">
        <v>1928</v>
      </c>
      <c r="J494">
        <v>1233</v>
      </c>
      <c r="K494">
        <v>695</v>
      </c>
      <c r="L494" t="s">
        <v>28</v>
      </c>
      <c r="M494" t="s">
        <v>19</v>
      </c>
      <c r="N494" t="str">
        <f>IF(SalesTbl[[#This Row],[Profit]]&gt;180,"High Profit","Low Profit")</f>
        <v>High Profit</v>
      </c>
      <c r="O494" t="str">
        <f>TEXT(SalesTbl[[#This Row],[Date]],"mmm")</f>
        <v>Jun</v>
      </c>
    </row>
    <row r="495" spans="1:15" x14ac:dyDescent="0.3">
      <c r="A495">
        <v>1494</v>
      </c>
      <c r="B495" t="s">
        <v>34</v>
      </c>
      <c r="C495" t="s">
        <v>21</v>
      </c>
      <c r="D495" t="s">
        <v>15</v>
      </c>
      <c r="E495" t="s">
        <v>22</v>
      </c>
      <c r="F495" t="s">
        <v>23</v>
      </c>
      <c r="G495">
        <v>6</v>
      </c>
      <c r="H495">
        <v>612</v>
      </c>
      <c r="I495">
        <v>3672</v>
      </c>
      <c r="J495">
        <v>2313</v>
      </c>
      <c r="K495">
        <v>1359</v>
      </c>
      <c r="L495" t="s">
        <v>38</v>
      </c>
      <c r="M495" t="s">
        <v>29</v>
      </c>
      <c r="N495" t="str">
        <f>IF(SalesTbl[[#This Row],[Profit]]&gt;180,"High Profit","Low Profit")</f>
        <v>High Profit</v>
      </c>
      <c r="O495" t="str">
        <f>TEXT(SalesTbl[[#This Row],[Date]],"mmm")</f>
        <v>Mar</v>
      </c>
    </row>
    <row r="496" spans="1:15" x14ac:dyDescent="0.3">
      <c r="A496">
        <v>1495</v>
      </c>
      <c r="B496" t="s">
        <v>60</v>
      </c>
      <c r="C496" t="s">
        <v>21</v>
      </c>
      <c r="D496" t="s">
        <v>15</v>
      </c>
      <c r="E496" t="s">
        <v>48</v>
      </c>
      <c r="F496" t="s">
        <v>23</v>
      </c>
      <c r="G496">
        <v>5</v>
      </c>
      <c r="H496">
        <v>909</v>
      </c>
      <c r="I496">
        <v>4545</v>
      </c>
      <c r="J496">
        <v>2999</v>
      </c>
      <c r="K496">
        <v>1546</v>
      </c>
      <c r="L496" t="s">
        <v>28</v>
      </c>
      <c r="M496" t="s">
        <v>19</v>
      </c>
      <c r="N496" t="str">
        <f>IF(SalesTbl[[#This Row],[Profit]]&gt;180,"High Profit","Low Profit")</f>
        <v>High Profit</v>
      </c>
      <c r="O496" t="str">
        <f>TEXT(SalesTbl[[#This Row],[Date]],"mmm")</f>
        <v>Jan</v>
      </c>
    </row>
    <row r="497" spans="1:15" x14ac:dyDescent="0.3">
      <c r="A497">
        <v>1496</v>
      </c>
      <c r="B497" t="s">
        <v>157</v>
      </c>
      <c r="C497" t="s">
        <v>31</v>
      </c>
      <c r="D497" t="s">
        <v>15</v>
      </c>
      <c r="E497" t="s">
        <v>54</v>
      </c>
      <c r="F497" t="s">
        <v>17</v>
      </c>
      <c r="G497">
        <v>9</v>
      </c>
      <c r="H497">
        <v>447</v>
      </c>
      <c r="I497">
        <v>4023</v>
      </c>
      <c r="J497">
        <v>2454</v>
      </c>
      <c r="K497">
        <v>1569</v>
      </c>
      <c r="L497" t="s">
        <v>33</v>
      </c>
      <c r="M497" t="s">
        <v>29</v>
      </c>
      <c r="N497" t="str">
        <f>IF(SalesTbl[[#This Row],[Profit]]&gt;180,"High Profit","Low Profit")</f>
        <v>High Profit</v>
      </c>
      <c r="O497" t="str">
        <f>TEXT(SalesTbl[[#This Row],[Date]],"mmm")</f>
        <v>Feb</v>
      </c>
    </row>
    <row r="498" spans="1:15" x14ac:dyDescent="0.3">
      <c r="A498">
        <v>1497</v>
      </c>
      <c r="B498" t="s">
        <v>69</v>
      </c>
      <c r="C498" t="s">
        <v>31</v>
      </c>
      <c r="D498" t="s">
        <v>26</v>
      </c>
      <c r="E498" t="s">
        <v>27</v>
      </c>
      <c r="F498" t="s">
        <v>17</v>
      </c>
      <c r="G498">
        <v>1</v>
      </c>
      <c r="H498">
        <v>843</v>
      </c>
      <c r="I498">
        <v>843</v>
      </c>
      <c r="J498">
        <v>531</v>
      </c>
      <c r="K498">
        <v>312</v>
      </c>
      <c r="L498" t="s">
        <v>33</v>
      </c>
      <c r="M498" t="s">
        <v>29</v>
      </c>
      <c r="N498" t="str">
        <f>IF(SalesTbl[[#This Row],[Profit]]&gt;180,"High Profit","Low Profit")</f>
        <v>High Profit</v>
      </c>
      <c r="O498" t="str">
        <f>TEXT(SalesTbl[[#This Row],[Date]],"mmm")</f>
        <v>May</v>
      </c>
    </row>
    <row r="499" spans="1:15" x14ac:dyDescent="0.3">
      <c r="A499">
        <v>1498</v>
      </c>
      <c r="B499" t="s">
        <v>182</v>
      </c>
      <c r="C499" t="s">
        <v>31</v>
      </c>
      <c r="D499" t="s">
        <v>15</v>
      </c>
      <c r="E499" t="s">
        <v>41</v>
      </c>
      <c r="F499" t="s">
        <v>17</v>
      </c>
      <c r="G499">
        <v>8</v>
      </c>
      <c r="H499">
        <v>264</v>
      </c>
      <c r="I499">
        <v>2112</v>
      </c>
      <c r="J499">
        <v>1689</v>
      </c>
      <c r="K499">
        <v>423</v>
      </c>
      <c r="L499" t="s">
        <v>24</v>
      </c>
      <c r="M499" t="s">
        <v>29</v>
      </c>
      <c r="N499" t="str">
        <f>IF(SalesTbl[[#This Row],[Profit]]&gt;180,"High Profit","Low Profit")</f>
        <v>High Profit</v>
      </c>
      <c r="O499" t="str">
        <f>TEXT(SalesTbl[[#This Row],[Date]],"mmm")</f>
        <v>Mar</v>
      </c>
    </row>
    <row r="500" spans="1:15" x14ac:dyDescent="0.3">
      <c r="A500">
        <v>1499</v>
      </c>
      <c r="B500" t="s">
        <v>13</v>
      </c>
      <c r="C500" t="s">
        <v>21</v>
      </c>
      <c r="D500" t="s">
        <v>15</v>
      </c>
      <c r="E500" t="s">
        <v>48</v>
      </c>
      <c r="F500" t="s">
        <v>23</v>
      </c>
      <c r="G500">
        <v>6</v>
      </c>
      <c r="H500">
        <v>751</v>
      </c>
      <c r="I500">
        <v>4506</v>
      </c>
      <c r="J500">
        <v>3424</v>
      </c>
      <c r="K500">
        <v>1082</v>
      </c>
      <c r="L500" t="s">
        <v>28</v>
      </c>
      <c r="M500" t="s">
        <v>29</v>
      </c>
      <c r="N500" t="str">
        <f>IF(SalesTbl[[#This Row],[Profit]]&gt;180,"High Profit","Low Profit")</f>
        <v>High Profit</v>
      </c>
      <c r="O500" t="str">
        <f>TEXT(SalesTbl[[#This Row],[Date]],"mmm")</f>
        <v>Feb</v>
      </c>
    </row>
    <row r="501" spans="1:15" x14ac:dyDescent="0.3">
      <c r="A501">
        <v>1500</v>
      </c>
      <c r="B501" t="s">
        <v>101</v>
      </c>
      <c r="C501" t="s">
        <v>31</v>
      </c>
      <c r="D501" t="s">
        <v>32</v>
      </c>
      <c r="E501" t="s">
        <v>16</v>
      </c>
      <c r="F501" t="s">
        <v>17</v>
      </c>
      <c r="G501">
        <v>7</v>
      </c>
      <c r="H501">
        <v>550</v>
      </c>
      <c r="I501">
        <v>3850</v>
      </c>
      <c r="J501">
        <v>2810</v>
      </c>
      <c r="K501">
        <v>1040</v>
      </c>
      <c r="L501" t="s">
        <v>24</v>
      </c>
      <c r="M501" t="s">
        <v>29</v>
      </c>
      <c r="N501" t="str">
        <f>IF(SalesTbl[[#This Row],[Profit]]&gt;180,"High Profit","Low Profit")</f>
        <v>High Profit</v>
      </c>
      <c r="O501" t="str">
        <f>TEXT(SalesTbl[[#This Row],[Date]],"mmm")</f>
        <v>Feb</v>
      </c>
    </row>
    <row r="502" spans="1:15" x14ac:dyDescent="0.3">
      <c r="A502">
        <v>1501</v>
      </c>
      <c r="B502" t="s">
        <v>116</v>
      </c>
      <c r="C502" t="s">
        <v>31</v>
      </c>
      <c r="D502" t="s">
        <v>32</v>
      </c>
      <c r="E502" t="s">
        <v>41</v>
      </c>
      <c r="F502" t="s">
        <v>17</v>
      </c>
      <c r="G502">
        <v>3</v>
      </c>
      <c r="H502">
        <v>676</v>
      </c>
      <c r="I502">
        <v>2028</v>
      </c>
      <c r="J502">
        <v>1622</v>
      </c>
      <c r="K502">
        <v>406</v>
      </c>
      <c r="L502" t="s">
        <v>18</v>
      </c>
      <c r="M502" t="s">
        <v>19</v>
      </c>
      <c r="N502" t="str">
        <f>IF(SalesTbl[[#This Row],[Profit]]&gt;180,"High Profit","Low Profit")</f>
        <v>High Profit</v>
      </c>
      <c r="O502" t="str">
        <f>TEXT(SalesTbl[[#This Row],[Date]],"mmm")</f>
        <v>Mar</v>
      </c>
    </row>
    <row r="503" spans="1:15" x14ac:dyDescent="0.3">
      <c r="A503">
        <v>1502</v>
      </c>
      <c r="B503" t="s">
        <v>65</v>
      </c>
      <c r="C503" t="s">
        <v>14</v>
      </c>
      <c r="D503" t="s">
        <v>35</v>
      </c>
      <c r="E503" t="s">
        <v>41</v>
      </c>
      <c r="F503" t="s">
        <v>17</v>
      </c>
      <c r="G503">
        <v>1</v>
      </c>
      <c r="H503">
        <v>425</v>
      </c>
      <c r="I503">
        <v>425</v>
      </c>
      <c r="J503">
        <v>335</v>
      </c>
      <c r="K503">
        <v>90</v>
      </c>
      <c r="L503" t="s">
        <v>28</v>
      </c>
      <c r="M503" t="s">
        <v>29</v>
      </c>
      <c r="N503" t="str">
        <f>IF(SalesTbl[[#This Row],[Profit]]&gt;180,"High Profit","Low Profit")</f>
        <v>Low Profit</v>
      </c>
      <c r="O503" t="str">
        <f>TEXT(SalesTbl[[#This Row],[Date]],"mmm")</f>
        <v>May</v>
      </c>
    </row>
    <row r="504" spans="1:15" x14ac:dyDescent="0.3">
      <c r="A504">
        <v>1209</v>
      </c>
      <c r="B504" t="s">
        <v>160</v>
      </c>
      <c r="C504" t="s">
        <v>40</v>
      </c>
      <c r="D504" t="s">
        <v>26</v>
      </c>
      <c r="E504" t="s">
        <v>54</v>
      </c>
      <c r="F504" t="s">
        <v>17</v>
      </c>
      <c r="G504">
        <v>2</v>
      </c>
      <c r="H504">
        <v>926</v>
      </c>
      <c r="I504">
        <v>1852</v>
      </c>
      <c r="J504">
        <v>1203</v>
      </c>
      <c r="K504">
        <v>649</v>
      </c>
      <c r="L504" t="s">
        <v>38</v>
      </c>
      <c r="M504" t="s">
        <v>29</v>
      </c>
      <c r="N504" t="str">
        <f>IF(SalesTbl[[#This Row],[Profit]]&gt;180,"High Profit","Low Profit")</f>
        <v>High Profit</v>
      </c>
      <c r="O504" t="str">
        <f>TEXT(SalesTbl[[#This Row],[Date]],"mmm")</f>
        <v>Jan</v>
      </c>
    </row>
    <row r="505" spans="1:15" x14ac:dyDescent="0.3">
      <c r="A505">
        <v>1504</v>
      </c>
      <c r="B505" t="s">
        <v>115</v>
      </c>
      <c r="C505" t="s">
        <v>21</v>
      </c>
      <c r="D505" t="s">
        <v>32</v>
      </c>
      <c r="E505" t="s">
        <v>27</v>
      </c>
      <c r="F505" t="s">
        <v>17</v>
      </c>
      <c r="G505">
        <v>4</v>
      </c>
      <c r="H505">
        <v>237</v>
      </c>
      <c r="I505">
        <v>948</v>
      </c>
      <c r="J505">
        <v>625</v>
      </c>
      <c r="K505">
        <v>323</v>
      </c>
      <c r="L505" t="s">
        <v>18</v>
      </c>
      <c r="M505" t="s">
        <v>19</v>
      </c>
      <c r="N505" t="str">
        <f>IF(SalesTbl[[#This Row],[Profit]]&gt;180,"High Profit","Low Profit")</f>
        <v>High Profit</v>
      </c>
      <c r="O505" t="str">
        <f>TEXT(SalesTbl[[#This Row],[Date]],"mmm")</f>
        <v>Jun</v>
      </c>
    </row>
    <row r="506" spans="1:15" x14ac:dyDescent="0.3">
      <c r="A506">
        <v>1464</v>
      </c>
      <c r="B506" t="s">
        <v>116</v>
      </c>
      <c r="C506" t="s">
        <v>40</v>
      </c>
      <c r="D506" t="s">
        <v>15</v>
      </c>
      <c r="E506" t="s">
        <v>54</v>
      </c>
      <c r="F506" t="s">
        <v>17</v>
      </c>
      <c r="G506">
        <v>4</v>
      </c>
      <c r="H506">
        <v>571</v>
      </c>
      <c r="I506">
        <v>2284</v>
      </c>
      <c r="J506">
        <v>1644</v>
      </c>
      <c r="K506">
        <v>640</v>
      </c>
      <c r="L506" t="s">
        <v>18</v>
      </c>
      <c r="M506" t="s">
        <v>29</v>
      </c>
      <c r="N506" t="str">
        <f>IF(SalesTbl[[#This Row],[Profit]]&gt;180,"High Profit","Low Profit")</f>
        <v>High Profit</v>
      </c>
      <c r="O506" t="str">
        <f>TEXT(SalesTbl[[#This Row],[Date]],"mmm")</f>
        <v>Mar</v>
      </c>
    </row>
    <row r="507" spans="1:15" x14ac:dyDescent="0.3">
      <c r="A507">
        <v>1506</v>
      </c>
      <c r="B507" t="s">
        <v>122</v>
      </c>
      <c r="C507" t="s">
        <v>21</v>
      </c>
      <c r="D507" t="s">
        <v>26</v>
      </c>
      <c r="E507" t="s">
        <v>41</v>
      </c>
      <c r="F507" t="s">
        <v>17</v>
      </c>
      <c r="G507">
        <v>3</v>
      </c>
      <c r="H507">
        <v>300</v>
      </c>
      <c r="I507">
        <v>900</v>
      </c>
      <c r="J507">
        <v>666</v>
      </c>
      <c r="K507">
        <v>234</v>
      </c>
      <c r="L507" t="s">
        <v>33</v>
      </c>
      <c r="M507" t="s">
        <v>19</v>
      </c>
      <c r="N507" t="str">
        <f>IF(SalesTbl[[#This Row],[Profit]]&gt;180,"High Profit","Low Profit")</f>
        <v>High Profit</v>
      </c>
      <c r="O507" t="str">
        <f>TEXT(SalesTbl[[#This Row],[Date]],"mmm")</f>
        <v>Jan</v>
      </c>
    </row>
    <row r="508" spans="1:15" x14ac:dyDescent="0.3">
      <c r="A508">
        <v>1507</v>
      </c>
      <c r="B508" t="s">
        <v>34</v>
      </c>
      <c r="C508" t="s">
        <v>14</v>
      </c>
      <c r="D508" t="s">
        <v>15</v>
      </c>
      <c r="E508" t="s">
        <v>22</v>
      </c>
      <c r="F508" t="s">
        <v>23</v>
      </c>
      <c r="G508">
        <v>9</v>
      </c>
      <c r="H508">
        <v>217</v>
      </c>
      <c r="I508">
        <v>1953</v>
      </c>
      <c r="J508">
        <v>1562</v>
      </c>
      <c r="K508">
        <v>391</v>
      </c>
      <c r="L508" t="s">
        <v>24</v>
      </c>
      <c r="M508" t="s">
        <v>29</v>
      </c>
      <c r="N508" t="str">
        <f>IF(SalesTbl[[#This Row],[Profit]]&gt;180,"High Profit","Low Profit")</f>
        <v>High Profit</v>
      </c>
      <c r="O508" t="str">
        <f>TEXT(SalesTbl[[#This Row],[Date]],"mmm")</f>
        <v>Mar</v>
      </c>
    </row>
    <row r="509" spans="1:15" x14ac:dyDescent="0.3">
      <c r="A509">
        <v>1508</v>
      </c>
      <c r="B509" t="s">
        <v>36</v>
      </c>
      <c r="C509" t="s">
        <v>31</v>
      </c>
      <c r="D509" t="s">
        <v>32</v>
      </c>
      <c r="E509" t="s">
        <v>27</v>
      </c>
      <c r="F509" t="s">
        <v>17</v>
      </c>
      <c r="G509">
        <v>1</v>
      </c>
      <c r="H509">
        <v>787</v>
      </c>
      <c r="I509">
        <v>787</v>
      </c>
      <c r="J509">
        <v>472</v>
      </c>
      <c r="K509">
        <v>315</v>
      </c>
      <c r="L509" t="s">
        <v>18</v>
      </c>
      <c r="M509" t="s">
        <v>19</v>
      </c>
      <c r="N509" t="str">
        <f>IF(SalesTbl[[#This Row],[Profit]]&gt;180,"High Profit","Low Profit")</f>
        <v>High Profit</v>
      </c>
      <c r="O509" t="str">
        <f>TEXT(SalesTbl[[#This Row],[Date]],"mmm")</f>
        <v>May</v>
      </c>
    </row>
    <row r="510" spans="1:15" x14ac:dyDescent="0.3">
      <c r="A510">
        <v>1698</v>
      </c>
      <c r="B510" t="s">
        <v>63</v>
      </c>
      <c r="C510" t="s">
        <v>40</v>
      </c>
      <c r="D510" t="s">
        <v>32</v>
      </c>
      <c r="E510" t="s">
        <v>16</v>
      </c>
      <c r="F510" t="s">
        <v>17</v>
      </c>
      <c r="G510">
        <v>4</v>
      </c>
      <c r="H510">
        <v>570</v>
      </c>
      <c r="I510">
        <v>2280</v>
      </c>
      <c r="J510">
        <v>1641</v>
      </c>
      <c r="K510">
        <v>639</v>
      </c>
      <c r="L510" t="s">
        <v>18</v>
      </c>
      <c r="M510" t="s">
        <v>29</v>
      </c>
      <c r="N510" t="str">
        <f>IF(SalesTbl[[#This Row],[Profit]]&gt;180,"High Profit","Low Profit")</f>
        <v>High Profit</v>
      </c>
      <c r="O510" t="str">
        <f>TEXT(SalesTbl[[#This Row],[Date]],"mmm")</f>
        <v>Jan</v>
      </c>
    </row>
    <row r="511" spans="1:15" x14ac:dyDescent="0.3">
      <c r="A511">
        <v>1057</v>
      </c>
      <c r="B511" t="s">
        <v>84</v>
      </c>
      <c r="C511" t="s">
        <v>40</v>
      </c>
      <c r="D511" t="s">
        <v>32</v>
      </c>
      <c r="E511" t="s">
        <v>16</v>
      </c>
      <c r="F511" t="s">
        <v>17</v>
      </c>
      <c r="G511">
        <v>8</v>
      </c>
      <c r="H511">
        <v>312</v>
      </c>
      <c r="I511">
        <v>2496</v>
      </c>
      <c r="J511">
        <v>1872</v>
      </c>
      <c r="K511">
        <v>624</v>
      </c>
      <c r="L511" t="s">
        <v>33</v>
      </c>
      <c r="M511" t="s">
        <v>19</v>
      </c>
      <c r="N511" t="str">
        <f>IF(SalesTbl[[#This Row],[Profit]]&gt;180,"High Profit","Low Profit")</f>
        <v>High Profit</v>
      </c>
      <c r="O511" t="str">
        <f>TEXT(SalesTbl[[#This Row],[Date]],"mmm")</f>
        <v>Apr</v>
      </c>
    </row>
    <row r="512" spans="1:15" x14ac:dyDescent="0.3">
      <c r="A512">
        <v>1511</v>
      </c>
      <c r="B512" t="s">
        <v>183</v>
      </c>
      <c r="C512" t="s">
        <v>31</v>
      </c>
      <c r="D512" t="s">
        <v>35</v>
      </c>
      <c r="E512" t="s">
        <v>22</v>
      </c>
      <c r="F512" t="s">
        <v>23</v>
      </c>
      <c r="G512">
        <v>3</v>
      </c>
      <c r="H512">
        <v>977</v>
      </c>
      <c r="I512">
        <v>2931</v>
      </c>
      <c r="J512">
        <v>2022</v>
      </c>
      <c r="K512">
        <v>909</v>
      </c>
      <c r="L512" t="s">
        <v>24</v>
      </c>
      <c r="M512" t="s">
        <v>29</v>
      </c>
      <c r="N512" t="str">
        <f>IF(SalesTbl[[#This Row],[Profit]]&gt;180,"High Profit","Low Profit")</f>
        <v>High Profit</v>
      </c>
      <c r="O512" t="str">
        <f>TEXT(SalesTbl[[#This Row],[Date]],"mmm")</f>
        <v>Apr</v>
      </c>
    </row>
    <row r="513" spans="1:15" x14ac:dyDescent="0.3">
      <c r="A513">
        <v>1512</v>
      </c>
      <c r="B513" t="s">
        <v>162</v>
      </c>
      <c r="C513" t="s">
        <v>21</v>
      </c>
      <c r="D513" t="s">
        <v>32</v>
      </c>
      <c r="E513" t="s">
        <v>41</v>
      </c>
      <c r="F513" t="s">
        <v>17</v>
      </c>
      <c r="G513">
        <v>6</v>
      </c>
      <c r="H513">
        <v>555</v>
      </c>
      <c r="I513">
        <v>3330</v>
      </c>
      <c r="J513">
        <v>2197</v>
      </c>
      <c r="K513">
        <v>1133</v>
      </c>
      <c r="L513" t="s">
        <v>28</v>
      </c>
      <c r="M513" t="s">
        <v>29</v>
      </c>
      <c r="N513" t="str">
        <f>IF(SalesTbl[[#This Row],[Profit]]&gt;180,"High Profit","Low Profit")</f>
        <v>High Profit</v>
      </c>
      <c r="O513" t="str">
        <f>TEXT(SalesTbl[[#This Row],[Date]],"mmm")</f>
        <v>Apr</v>
      </c>
    </row>
    <row r="514" spans="1:15" x14ac:dyDescent="0.3">
      <c r="A514">
        <v>1513</v>
      </c>
      <c r="B514" t="s">
        <v>182</v>
      </c>
      <c r="C514" t="s">
        <v>14</v>
      </c>
      <c r="D514" t="s">
        <v>32</v>
      </c>
      <c r="E514" t="s">
        <v>48</v>
      </c>
      <c r="F514" t="s">
        <v>23</v>
      </c>
      <c r="G514">
        <v>8</v>
      </c>
      <c r="H514">
        <v>793</v>
      </c>
      <c r="I514">
        <v>6344</v>
      </c>
      <c r="J514">
        <v>4123</v>
      </c>
      <c r="K514">
        <v>2221</v>
      </c>
      <c r="L514" t="s">
        <v>18</v>
      </c>
      <c r="M514" t="s">
        <v>19</v>
      </c>
      <c r="N514" t="str">
        <f>IF(SalesTbl[[#This Row],[Profit]]&gt;180,"High Profit","Low Profit")</f>
        <v>High Profit</v>
      </c>
      <c r="O514" t="str">
        <f>TEXT(SalesTbl[[#This Row],[Date]],"mmm")</f>
        <v>Mar</v>
      </c>
    </row>
    <row r="515" spans="1:15" x14ac:dyDescent="0.3">
      <c r="A515">
        <v>1514</v>
      </c>
      <c r="B515" t="s">
        <v>207</v>
      </c>
      <c r="C515" t="s">
        <v>40</v>
      </c>
      <c r="D515" t="s">
        <v>35</v>
      </c>
      <c r="E515" t="s">
        <v>22</v>
      </c>
      <c r="F515" t="s">
        <v>23</v>
      </c>
      <c r="G515">
        <v>7</v>
      </c>
      <c r="H515">
        <v>293</v>
      </c>
      <c r="I515">
        <v>2051</v>
      </c>
      <c r="J515">
        <v>1415</v>
      </c>
      <c r="K515">
        <v>636</v>
      </c>
      <c r="L515" t="s">
        <v>28</v>
      </c>
      <c r="M515" t="s">
        <v>29</v>
      </c>
      <c r="N515" t="str">
        <f>IF(SalesTbl[[#This Row],[Profit]]&gt;180,"High Profit","Low Profit")</f>
        <v>High Profit</v>
      </c>
      <c r="O515" t="str">
        <f>TEXT(SalesTbl[[#This Row],[Date]],"mmm")</f>
        <v>Jun</v>
      </c>
    </row>
    <row r="516" spans="1:15" x14ac:dyDescent="0.3">
      <c r="A516">
        <v>1515</v>
      </c>
      <c r="B516" t="s">
        <v>39</v>
      </c>
      <c r="C516" t="s">
        <v>21</v>
      </c>
      <c r="D516" t="s">
        <v>35</v>
      </c>
      <c r="E516" t="s">
        <v>41</v>
      </c>
      <c r="F516" t="s">
        <v>17</v>
      </c>
      <c r="G516">
        <v>2</v>
      </c>
      <c r="H516">
        <v>283</v>
      </c>
      <c r="I516">
        <v>566</v>
      </c>
      <c r="J516">
        <v>418</v>
      </c>
      <c r="K516">
        <v>148</v>
      </c>
      <c r="L516" t="s">
        <v>24</v>
      </c>
      <c r="M516" t="s">
        <v>19</v>
      </c>
      <c r="N516" t="str">
        <f>IF(SalesTbl[[#This Row],[Profit]]&gt;180,"High Profit","Low Profit")</f>
        <v>Low Profit</v>
      </c>
      <c r="O516" t="str">
        <f>TEXT(SalesTbl[[#This Row],[Date]],"mmm")</f>
        <v>Mar</v>
      </c>
    </row>
    <row r="517" spans="1:15" x14ac:dyDescent="0.3">
      <c r="A517">
        <v>1516</v>
      </c>
      <c r="B517" t="s">
        <v>77</v>
      </c>
      <c r="C517" t="s">
        <v>21</v>
      </c>
      <c r="D517" t="s">
        <v>35</v>
      </c>
      <c r="E517" t="s">
        <v>54</v>
      </c>
      <c r="F517" t="s">
        <v>17</v>
      </c>
      <c r="G517">
        <v>9</v>
      </c>
      <c r="H517">
        <v>491</v>
      </c>
      <c r="I517">
        <v>4419</v>
      </c>
      <c r="J517">
        <v>3402</v>
      </c>
      <c r="K517">
        <v>1017</v>
      </c>
      <c r="L517" t="s">
        <v>24</v>
      </c>
      <c r="M517" t="s">
        <v>19</v>
      </c>
      <c r="N517" t="str">
        <f>IF(SalesTbl[[#This Row],[Profit]]&gt;180,"High Profit","Low Profit")</f>
        <v>High Profit</v>
      </c>
      <c r="O517" t="str">
        <f>TEXT(SalesTbl[[#This Row],[Date]],"mmm")</f>
        <v>May</v>
      </c>
    </row>
    <row r="518" spans="1:15" x14ac:dyDescent="0.3">
      <c r="A518">
        <v>1517</v>
      </c>
      <c r="B518" t="s">
        <v>30</v>
      </c>
      <c r="C518" t="s">
        <v>14</v>
      </c>
      <c r="D518" t="s">
        <v>26</v>
      </c>
      <c r="E518" t="s">
        <v>48</v>
      </c>
      <c r="F518" t="s">
        <v>23</v>
      </c>
      <c r="G518">
        <v>2</v>
      </c>
      <c r="H518">
        <v>459</v>
      </c>
      <c r="I518">
        <v>918</v>
      </c>
      <c r="J518">
        <v>706</v>
      </c>
      <c r="K518">
        <v>212</v>
      </c>
      <c r="L518" t="s">
        <v>38</v>
      </c>
      <c r="M518" t="s">
        <v>19</v>
      </c>
      <c r="N518" t="str">
        <f>IF(SalesTbl[[#This Row],[Profit]]&gt;180,"High Profit","Low Profit")</f>
        <v>High Profit</v>
      </c>
      <c r="O518" t="str">
        <f>TEXT(SalesTbl[[#This Row],[Date]],"mmm")</f>
        <v>Feb</v>
      </c>
    </row>
    <row r="519" spans="1:15" x14ac:dyDescent="0.3">
      <c r="A519">
        <v>1518</v>
      </c>
      <c r="B519" t="s">
        <v>199</v>
      </c>
      <c r="C519" t="s">
        <v>21</v>
      </c>
      <c r="D519" t="s">
        <v>15</v>
      </c>
      <c r="E519" t="s">
        <v>54</v>
      </c>
      <c r="F519" t="s">
        <v>17</v>
      </c>
      <c r="G519">
        <v>1</v>
      </c>
      <c r="H519">
        <v>608</v>
      </c>
      <c r="I519">
        <v>608</v>
      </c>
      <c r="J519">
        <v>407</v>
      </c>
      <c r="K519">
        <v>201</v>
      </c>
      <c r="L519" t="s">
        <v>33</v>
      </c>
      <c r="M519" t="s">
        <v>29</v>
      </c>
      <c r="N519" t="str">
        <f>IF(SalesTbl[[#This Row],[Profit]]&gt;180,"High Profit","Low Profit")</f>
        <v>High Profit</v>
      </c>
      <c r="O519" t="str">
        <f>TEXT(SalesTbl[[#This Row],[Date]],"mmm")</f>
        <v>Apr</v>
      </c>
    </row>
    <row r="520" spans="1:15" x14ac:dyDescent="0.3">
      <c r="A520">
        <v>1519</v>
      </c>
      <c r="B520" t="s">
        <v>170</v>
      </c>
      <c r="C520" t="s">
        <v>14</v>
      </c>
      <c r="D520" t="s">
        <v>32</v>
      </c>
      <c r="E520" t="s">
        <v>41</v>
      </c>
      <c r="F520" t="s">
        <v>17</v>
      </c>
      <c r="G520">
        <v>8</v>
      </c>
      <c r="H520">
        <v>772</v>
      </c>
      <c r="I520">
        <v>6176</v>
      </c>
      <c r="J520">
        <v>4323</v>
      </c>
      <c r="K520">
        <v>1853</v>
      </c>
      <c r="L520" t="s">
        <v>33</v>
      </c>
      <c r="M520" t="s">
        <v>19</v>
      </c>
      <c r="N520" t="str">
        <f>IF(SalesTbl[[#This Row],[Profit]]&gt;180,"High Profit","Low Profit")</f>
        <v>High Profit</v>
      </c>
      <c r="O520" t="str">
        <f>TEXT(SalesTbl[[#This Row],[Date]],"mmm")</f>
        <v>Jan</v>
      </c>
    </row>
    <row r="521" spans="1:15" x14ac:dyDescent="0.3">
      <c r="A521">
        <v>1520</v>
      </c>
      <c r="B521" t="s">
        <v>78</v>
      </c>
      <c r="C521" t="s">
        <v>14</v>
      </c>
      <c r="D521" t="s">
        <v>15</v>
      </c>
      <c r="E521" t="s">
        <v>16</v>
      </c>
      <c r="F521" t="s">
        <v>17</v>
      </c>
      <c r="G521">
        <v>7</v>
      </c>
      <c r="H521">
        <v>221</v>
      </c>
      <c r="I521">
        <v>1547</v>
      </c>
      <c r="J521">
        <v>1051</v>
      </c>
      <c r="K521">
        <v>496</v>
      </c>
      <c r="L521" t="s">
        <v>24</v>
      </c>
      <c r="M521" t="s">
        <v>29</v>
      </c>
      <c r="N521" t="str">
        <f>IF(SalesTbl[[#This Row],[Profit]]&gt;180,"High Profit","Low Profit")</f>
        <v>High Profit</v>
      </c>
      <c r="O521" t="str">
        <f>TEXT(SalesTbl[[#This Row],[Date]],"mmm")</f>
        <v>Jun</v>
      </c>
    </row>
    <row r="522" spans="1:15" x14ac:dyDescent="0.3">
      <c r="A522">
        <v>1521</v>
      </c>
      <c r="B522" t="s">
        <v>92</v>
      </c>
      <c r="C522" t="s">
        <v>14</v>
      </c>
      <c r="D522" t="s">
        <v>32</v>
      </c>
      <c r="E522" t="s">
        <v>48</v>
      </c>
      <c r="F522" t="s">
        <v>23</v>
      </c>
      <c r="G522">
        <v>7</v>
      </c>
      <c r="H522">
        <v>102</v>
      </c>
      <c r="I522">
        <v>714</v>
      </c>
      <c r="J522">
        <v>556</v>
      </c>
      <c r="K522">
        <v>158</v>
      </c>
      <c r="L522" t="s">
        <v>24</v>
      </c>
      <c r="M522" t="s">
        <v>29</v>
      </c>
      <c r="N522" t="str">
        <f>IF(SalesTbl[[#This Row],[Profit]]&gt;180,"High Profit","Low Profit")</f>
        <v>Low Profit</v>
      </c>
      <c r="O522" t="str">
        <f>TEXT(SalesTbl[[#This Row],[Date]],"mmm")</f>
        <v>Feb</v>
      </c>
    </row>
    <row r="523" spans="1:15" x14ac:dyDescent="0.3">
      <c r="A523">
        <v>1522</v>
      </c>
      <c r="B523" t="s">
        <v>79</v>
      </c>
      <c r="C523" t="s">
        <v>21</v>
      </c>
      <c r="D523" t="s">
        <v>35</v>
      </c>
      <c r="E523" t="s">
        <v>54</v>
      </c>
      <c r="F523" t="s">
        <v>17</v>
      </c>
      <c r="G523">
        <v>9</v>
      </c>
      <c r="H523">
        <v>736</v>
      </c>
      <c r="I523">
        <v>6624</v>
      </c>
      <c r="J523">
        <v>4106</v>
      </c>
      <c r="K523">
        <v>2518</v>
      </c>
      <c r="L523" t="s">
        <v>24</v>
      </c>
      <c r="M523" t="s">
        <v>29</v>
      </c>
      <c r="N523" t="str">
        <f>IF(SalesTbl[[#This Row],[Profit]]&gt;180,"High Profit","Low Profit")</f>
        <v>High Profit</v>
      </c>
      <c r="O523" t="str">
        <f>TEXT(SalesTbl[[#This Row],[Date]],"mmm")</f>
        <v>May</v>
      </c>
    </row>
    <row r="524" spans="1:15" x14ac:dyDescent="0.3">
      <c r="A524">
        <v>1523</v>
      </c>
      <c r="B524" t="s">
        <v>135</v>
      </c>
      <c r="C524" t="s">
        <v>21</v>
      </c>
      <c r="D524" t="s">
        <v>15</v>
      </c>
      <c r="E524" t="s">
        <v>16</v>
      </c>
      <c r="F524" t="s">
        <v>17</v>
      </c>
      <c r="G524">
        <v>9</v>
      </c>
      <c r="H524">
        <v>987</v>
      </c>
      <c r="I524">
        <v>8883</v>
      </c>
      <c r="J524">
        <v>5951</v>
      </c>
      <c r="K524">
        <v>2932</v>
      </c>
      <c r="L524" t="s">
        <v>24</v>
      </c>
      <c r="M524" t="s">
        <v>19</v>
      </c>
      <c r="N524" t="str">
        <f>IF(SalesTbl[[#This Row],[Profit]]&gt;180,"High Profit","Low Profit")</f>
        <v>High Profit</v>
      </c>
      <c r="O524" t="str">
        <f>TEXT(SalesTbl[[#This Row],[Date]],"mmm")</f>
        <v>May</v>
      </c>
    </row>
    <row r="525" spans="1:15" x14ac:dyDescent="0.3">
      <c r="A525">
        <v>1524</v>
      </c>
      <c r="B525" t="s">
        <v>135</v>
      </c>
      <c r="C525" t="s">
        <v>14</v>
      </c>
      <c r="D525" t="s">
        <v>26</v>
      </c>
      <c r="E525" t="s">
        <v>41</v>
      </c>
      <c r="F525" t="s">
        <v>17</v>
      </c>
      <c r="G525">
        <v>3</v>
      </c>
      <c r="H525">
        <v>262</v>
      </c>
      <c r="I525">
        <v>786</v>
      </c>
      <c r="J525">
        <v>534</v>
      </c>
      <c r="K525">
        <v>252</v>
      </c>
      <c r="L525" t="s">
        <v>28</v>
      </c>
      <c r="M525" t="s">
        <v>19</v>
      </c>
      <c r="N525" t="str">
        <f>IF(SalesTbl[[#This Row],[Profit]]&gt;180,"High Profit","Low Profit")</f>
        <v>High Profit</v>
      </c>
      <c r="O525" t="str">
        <f>TEXT(SalesTbl[[#This Row],[Date]],"mmm")</f>
        <v>May</v>
      </c>
    </row>
    <row r="526" spans="1:15" x14ac:dyDescent="0.3">
      <c r="A526">
        <v>1525</v>
      </c>
      <c r="B526" t="s">
        <v>195</v>
      </c>
      <c r="C526" t="s">
        <v>31</v>
      </c>
      <c r="D526" t="s">
        <v>15</v>
      </c>
      <c r="E526" t="s">
        <v>22</v>
      </c>
      <c r="F526" t="s">
        <v>23</v>
      </c>
      <c r="G526">
        <v>1</v>
      </c>
      <c r="H526">
        <v>958</v>
      </c>
      <c r="I526">
        <v>958</v>
      </c>
      <c r="J526">
        <v>680</v>
      </c>
      <c r="K526">
        <v>278</v>
      </c>
      <c r="L526" t="s">
        <v>38</v>
      </c>
      <c r="M526" t="s">
        <v>29</v>
      </c>
      <c r="N526" t="str">
        <f>IF(SalesTbl[[#This Row],[Profit]]&gt;180,"High Profit","Low Profit")</f>
        <v>High Profit</v>
      </c>
      <c r="O526" t="str">
        <f>TEXT(SalesTbl[[#This Row],[Date]],"mmm")</f>
        <v>Feb</v>
      </c>
    </row>
    <row r="527" spans="1:15" x14ac:dyDescent="0.3">
      <c r="A527">
        <v>1526</v>
      </c>
      <c r="B527" t="s">
        <v>199</v>
      </c>
      <c r="C527" t="s">
        <v>14</v>
      </c>
      <c r="D527" t="s">
        <v>32</v>
      </c>
      <c r="E527" t="s">
        <v>22</v>
      </c>
      <c r="F527" t="s">
        <v>23</v>
      </c>
      <c r="G527">
        <v>9</v>
      </c>
      <c r="H527">
        <v>373</v>
      </c>
      <c r="I527">
        <v>3357</v>
      </c>
      <c r="J527">
        <v>2282</v>
      </c>
      <c r="K527">
        <v>1075</v>
      </c>
      <c r="L527" t="s">
        <v>24</v>
      </c>
      <c r="M527" t="s">
        <v>29</v>
      </c>
      <c r="N527" t="str">
        <f>IF(SalesTbl[[#This Row],[Profit]]&gt;180,"High Profit","Low Profit")</f>
        <v>High Profit</v>
      </c>
      <c r="O527" t="str">
        <f>TEXT(SalesTbl[[#This Row],[Date]],"mmm")</f>
        <v>Apr</v>
      </c>
    </row>
    <row r="528" spans="1:15" x14ac:dyDescent="0.3">
      <c r="A528">
        <v>1527</v>
      </c>
      <c r="B528" t="s">
        <v>166</v>
      </c>
      <c r="C528" t="s">
        <v>21</v>
      </c>
      <c r="D528" t="s">
        <v>15</v>
      </c>
      <c r="E528" t="s">
        <v>16</v>
      </c>
      <c r="F528" t="s">
        <v>17</v>
      </c>
      <c r="G528">
        <v>3</v>
      </c>
      <c r="H528">
        <v>998</v>
      </c>
      <c r="I528">
        <v>2994</v>
      </c>
      <c r="J528">
        <v>2395</v>
      </c>
      <c r="K528">
        <v>599</v>
      </c>
      <c r="L528" t="s">
        <v>28</v>
      </c>
      <c r="M528" t="s">
        <v>19</v>
      </c>
      <c r="N528" t="str">
        <f>IF(SalesTbl[[#This Row],[Profit]]&gt;180,"High Profit","Low Profit")</f>
        <v>High Profit</v>
      </c>
      <c r="O528" t="str">
        <f>TEXT(SalesTbl[[#This Row],[Date]],"mmm")</f>
        <v>Jan</v>
      </c>
    </row>
    <row r="529" spans="1:15" x14ac:dyDescent="0.3">
      <c r="A529">
        <v>1528</v>
      </c>
      <c r="B529" t="s">
        <v>143</v>
      </c>
      <c r="C529" t="s">
        <v>14</v>
      </c>
      <c r="D529" t="s">
        <v>15</v>
      </c>
      <c r="E529" t="s">
        <v>22</v>
      </c>
      <c r="F529" t="s">
        <v>23</v>
      </c>
      <c r="G529">
        <v>6</v>
      </c>
      <c r="H529">
        <v>481</v>
      </c>
      <c r="I529">
        <v>2886</v>
      </c>
      <c r="J529">
        <v>1789</v>
      </c>
      <c r="K529">
        <v>1097</v>
      </c>
      <c r="L529" t="s">
        <v>38</v>
      </c>
      <c r="M529" t="s">
        <v>19</v>
      </c>
      <c r="N529" t="str">
        <f>IF(SalesTbl[[#This Row],[Profit]]&gt;180,"High Profit","Low Profit")</f>
        <v>High Profit</v>
      </c>
      <c r="O529" t="str">
        <f>TEXT(SalesTbl[[#This Row],[Date]],"mmm")</f>
        <v>Mar</v>
      </c>
    </row>
    <row r="530" spans="1:15" x14ac:dyDescent="0.3">
      <c r="A530">
        <v>1529</v>
      </c>
      <c r="B530" t="s">
        <v>105</v>
      </c>
      <c r="C530" t="s">
        <v>21</v>
      </c>
      <c r="D530" t="s">
        <v>26</v>
      </c>
      <c r="E530" t="s">
        <v>16</v>
      </c>
      <c r="F530" t="s">
        <v>17</v>
      </c>
      <c r="G530">
        <v>6</v>
      </c>
      <c r="H530">
        <v>990</v>
      </c>
      <c r="I530">
        <v>5940</v>
      </c>
      <c r="J530">
        <v>4752</v>
      </c>
      <c r="K530">
        <v>1188</v>
      </c>
      <c r="L530" t="s">
        <v>33</v>
      </c>
      <c r="M530" t="s">
        <v>29</v>
      </c>
      <c r="N530" t="str">
        <f>IF(SalesTbl[[#This Row],[Profit]]&gt;180,"High Profit","Low Profit")</f>
        <v>High Profit</v>
      </c>
      <c r="O530" t="str">
        <f>TEXT(SalesTbl[[#This Row],[Date]],"mmm")</f>
        <v>Jun</v>
      </c>
    </row>
    <row r="531" spans="1:15" x14ac:dyDescent="0.3">
      <c r="A531">
        <v>1530</v>
      </c>
      <c r="B531" t="s">
        <v>62</v>
      </c>
      <c r="C531" t="s">
        <v>14</v>
      </c>
      <c r="D531" t="s">
        <v>35</v>
      </c>
      <c r="E531" t="s">
        <v>16</v>
      </c>
      <c r="F531" t="s">
        <v>17</v>
      </c>
      <c r="G531">
        <v>7</v>
      </c>
      <c r="H531">
        <v>300</v>
      </c>
      <c r="I531">
        <v>2100</v>
      </c>
      <c r="J531">
        <v>1302</v>
      </c>
      <c r="K531">
        <v>798</v>
      </c>
      <c r="L531" t="s">
        <v>33</v>
      </c>
      <c r="M531" t="s">
        <v>29</v>
      </c>
      <c r="N531" t="str">
        <f>IF(SalesTbl[[#This Row],[Profit]]&gt;180,"High Profit","Low Profit")</f>
        <v>High Profit</v>
      </c>
      <c r="O531" t="str">
        <f>TEXT(SalesTbl[[#This Row],[Date]],"mmm")</f>
        <v>May</v>
      </c>
    </row>
    <row r="532" spans="1:15" x14ac:dyDescent="0.3">
      <c r="A532">
        <v>1531</v>
      </c>
      <c r="B532" t="s">
        <v>205</v>
      </c>
      <c r="C532" t="s">
        <v>31</v>
      </c>
      <c r="D532" t="s">
        <v>35</v>
      </c>
      <c r="E532" t="s">
        <v>16</v>
      </c>
      <c r="F532" t="s">
        <v>17</v>
      </c>
      <c r="G532">
        <v>8</v>
      </c>
      <c r="H532">
        <v>458</v>
      </c>
      <c r="I532">
        <v>3664</v>
      </c>
      <c r="J532">
        <v>2235</v>
      </c>
      <c r="K532">
        <v>1429</v>
      </c>
      <c r="L532" t="s">
        <v>24</v>
      </c>
      <c r="M532" t="s">
        <v>29</v>
      </c>
      <c r="N532" t="str">
        <f>IF(SalesTbl[[#This Row],[Profit]]&gt;180,"High Profit","Low Profit")</f>
        <v>High Profit</v>
      </c>
      <c r="O532" t="str">
        <f>TEXT(SalesTbl[[#This Row],[Date]],"mmm")</f>
        <v>Feb</v>
      </c>
    </row>
    <row r="533" spans="1:15" x14ac:dyDescent="0.3">
      <c r="A533">
        <v>1532</v>
      </c>
      <c r="B533" t="s">
        <v>147</v>
      </c>
      <c r="C533" t="s">
        <v>31</v>
      </c>
      <c r="D533" t="s">
        <v>35</v>
      </c>
      <c r="E533" t="s">
        <v>41</v>
      </c>
      <c r="F533" t="s">
        <v>17</v>
      </c>
      <c r="G533">
        <v>10</v>
      </c>
      <c r="H533">
        <v>487</v>
      </c>
      <c r="I533">
        <v>4870</v>
      </c>
      <c r="J533">
        <v>3555</v>
      </c>
      <c r="K533">
        <v>1315</v>
      </c>
      <c r="L533" t="s">
        <v>33</v>
      </c>
      <c r="M533" t="s">
        <v>19</v>
      </c>
      <c r="N533" t="str">
        <f>IF(SalesTbl[[#This Row],[Profit]]&gt;180,"High Profit","Low Profit")</f>
        <v>High Profit</v>
      </c>
      <c r="O533" t="str">
        <f>TEXT(SalesTbl[[#This Row],[Date]],"mmm")</f>
        <v>Jan</v>
      </c>
    </row>
    <row r="534" spans="1:15" x14ac:dyDescent="0.3">
      <c r="A534">
        <v>1533</v>
      </c>
      <c r="B534" t="s">
        <v>102</v>
      </c>
      <c r="C534" t="s">
        <v>21</v>
      </c>
      <c r="D534" t="s">
        <v>26</v>
      </c>
      <c r="E534" t="s">
        <v>16</v>
      </c>
      <c r="F534" t="s">
        <v>17</v>
      </c>
      <c r="G534">
        <v>3</v>
      </c>
      <c r="H534">
        <v>958</v>
      </c>
      <c r="I534">
        <v>2874</v>
      </c>
      <c r="J534">
        <v>2241</v>
      </c>
      <c r="K534">
        <v>633</v>
      </c>
      <c r="L534" t="s">
        <v>24</v>
      </c>
      <c r="M534" t="s">
        <v>19</v>
      </c>
      <c r="N534" t="str">
        <f>IF(SalesTbl[[#This Row],[Profit]]&gt;180,"High Profit","Low Profit")</f>
        <v>High Profit</v>
      </c>
      <c r="O534" t="str">
        <f>TEXT(SalesTbl[[#This Row],[Date]],"mmm")</f>
        <v>May</v>
      </c>
    </row>
    <row r="535" spans="1:15" x14ac:dyDescent="0.3">
      <c r="A535">
        <v>1534</v>
      </c>
      <c r="B535" t="s">
        <v>208</v>
      </c>
      <c r="C535" t="s">
        <v>14</v>
      </c>
      <c r="D535" t="s">
        <v>15</v>
      </c>
      <c r="E535" t="s">
        <v>16</v>
      </c>
      <c r="F535" t="s">
        <v>17</v>
      </c>
      <c r="G535">
        <v>2</v>
      </c>
      <c r="H535">
        <v>759</v>
      </c>
      <c r="I535">
        <v>1518</v>
      </c>
      <c r="J535">
        <v>1047</v>
      </c>
      <c r="K535">
        <v>471</v>
      </c>
      <c r="L535" t="s">
        <v>28</v>
      </c>
      <c r="M535" t="s">
        <v>29</v>
      </c>
      <c r="N535" t="str">
        <f>IF(SalesTbl[[#This Row],[Profit]]&gt;180,"High Profit","Low Profit")</f>
        <v>High Profit</v>
      </c>
      <c r="O535" t="str">
        <f>TEXT(SalesTbl[[#This Row],[Date]],"mmm")</f>
        <v>Jun</v>
      </c>
    </row>
    <row r="536" spans="1:15" x14ac:dyDescent="0.3">
      <c r="A536">
        <v>1535</v>
      </c>
      <c r="B536" t="s">
        <v>74</v>
      </c>
      <c r="C536" t="s">
        <v>31</v>
      </c>
      <c r="D536" t="s">
        <v>26</v>
      </c>
      <c r="E536" t="s">
        <v>48</v>
      </c>
      <c r="F536" t="s">
        <v>23</v>
      </c>
      <c r="G536">
        <v>2</v>
      </c>
      <c r="H536">
        <v>799</v>
      </c>
      <c r="I536">
        <v>1598</v>
      </c>
      <c r="J536">
        <v>1102</v>
      </c>
      <c r="K536">
        <v>496</v>
      </c>
      <c r="L536" t="s">
        <v>38</v>
      </c>
      <c r="M536" t="s">
        <v>19</v>
      </c>
      <c r="N536" t="str">
        <f>IF(SalesTbl[[#This Row],[Profit]]&gt;180,"High Profit","Low Profit")</f>
        <v>High Profit</v>
      </c>
      <c r="O536" t="str">
        <f>TEXT(SalesTbl[[#This Row],[Date]],"mmm")</f>
        <v>Feb</v>
      </c>
    </row>
    <row r="537" spans="1:15" x14ac:dyDescent="0.3">
      <c r="A537">
        <v>1536</v>
      </c>
      <c r="B537" t="s">
        <v>182</v>
      </c>
      <c r="C537" t="s">
        <v>31</v>
      </c>
      <c r="D537" t="s">
        <v>15</v>
      </c>
      <c r="E537" t="s">
        <v>27</v>
      </c>
      <c r="F537" t="s">
        <v>17</v>
      </c>
      <c r="G537">
        <v>2</v>
      </c>
      <c r="H537">
        <v>113</v>
      </c>
      <c r="I537">
        <v>226</v>
      </c>
      <c r="J537">
        <v>149</v>
      </c>
      <c r="K537">
        <v>77</v>
      </c>
      <c r="L537" t="s">
        <v>38</v>
      </c>
      <c r="M537" t="s">
        <v>19</v>
      </c>
      <c r="N537" t="str">
        <f>IF(SalesTbl[[#This Row],[Profit]]&gt;180,"High Profit","Low Profit")</f>
        <v>Low Profit</v>
      </c>
      <c r="O537" t="str">
        <f>TEXT(SalesTbl[[#This Row],[Date]],"mmm")</f>
        <v>Mar</v>
      </c>
    </row>
    <row r="538" spans="1:15" x14ac:dyDescent="0.3">
      <c r="A538">
        <v>1010</v>
      </c>
      <c r="B538" t="s">
        <v>43</v>
      </c>
      <c r="C538" t="s">
        <v>40</v>
      </c>
      <c r="D538" t="s">
        <v>15</v>
      </c>
      <c r="E538" t="s">
        <v>16</v>
      </c>
      <c r="F538" t="s">
        <v>17</v>
      </c>
      <c r="G538">
        <v>10</v>
      </c>
      <c r="H538">
        <v>155</v>
      </c>
      <c r="I538">
        <v>1550</v>
      </c>
      <c r="J538">
        <v>930</v>
      </c>
      <c r="K538">
        <v>620</v>
      </c>
      <c r="L538" t="s">
        <v>18</v>
      </c>
      <c r="M538" t="s">
        <v>19</v>
      </c>
      <c r="N538" t="str">
        <f>IF(SalesTbl[[#This Row],[Profit]]&gt;180,"High Profit","Low Profit")</f>
        <v>High Profit</v>
      </c>
      <c r="O538" t="str">
        <f>TEXT(SalesTbl[[#This Row],[Date]],"mmm")</f>
        <v>Apr</v>
      </c>
    </row>
    <row r="539" spans="1:15" x14ac:dyDescent="0.3">
      <c r="A539">
        <v>1342</v>
      </c>
      <c r="B539" t="s">
        <v>193</v>
      </c>
      <c r="C539" t="s">
        <v>40</v>
      </c>
      <c r="D539" t="s">
        <v>32</v>
      </c>
      <c r="E539" t="s">
        <v>41</v>
      </c>
      <c r="F539" t="s">
        <v>17</v>
      </c>
      <c r="G539">
        <v>5</v>
      </c>
      <c r="H539">
        <v>618</v>
      </c>
      <c r="I539">
        <v>3090</v>
      </c>
      <c r="J539">
        <v>2472</v>
      </c>
      <c r="K539">
        <v>618</v>
      </c>
      <c r="L539" t="s">
        <v>38</v>
      </c>
      <c r="M539" t="s">
        <v>19</v>
      </c>
      <c r="N539" t="str">
        <f>IF(SalesTbl[[#This Row],[Profit]]&gt;180,"High Profit","Low Profit")</f>
        <v>High Profit</v>
      </c>
      <c r="O539" t="str">
        <f>TEXT(SalesTbl[[#This Row],[Date]],"mmm")</f>
        <v>Apr</v>
      </c>
    </row>
    <row r="540" spans="1:15" x14ac:dyDescent="0.3">
      <c r="A540">
        <v>1429</v>
      </c>
      <c r="B540" t="s">
        <v>204</v>
      </c>
      <c r="C540" t="s">
        <v>40</v>
      </c>
      <c r="D540" t="s">
        <v>15</v>
      </c>
      <c r="E540" t="s">
        <v>54</v>
      </c>
      <c r="F540" t="s">
        <v>17</v>
      </c>
      <c r="G540">
        <v>10</v>
      </c>
      <c r="H540">
        <v>255</v>
      </c>
      <c r="I540">
        <v>2550</v>
      </c>
      <c r="J540">
        <v>1938</v>
      </c>
      <c r="K540">
        <v>612</v>
      </c>
      <c r="L540" t="s">
        <v>33</v>
      </c>
      <c r="M540" t="s">
        <v>19</v>
      </c>
      <c r="N540" t="str">
        <f>IF(SalesTbl[[#This Row],[Profit]]&gt;180,"High Profit","Low Profit")</f>
        <v>High Profit</v>
      </c>
      <c r="O540" t="str">
        <f>TEXT(SalesTbl[[#This Row],[Date]],"mmm")</f>
        <v>Jan</v>
      </c>
    </row>
    <row r="541" spans="1:15" x14ac:dyDescent="0.3">
      <c r="A541">
        <v>1540</v>
      </c>
      <c r="B541" t="s">
        <v>72</v>
      </c>
      <c r="C541" t="s">
        <v>40</v>
      </c>
      <c r="D541" t="s">
        <v>35</v>
      </c>
      <c r="E541" t="s">
        <v>48</v>
      </c>
      <c r="F541" t="s">
        <v>23</v>
      </c>
      <c r="G541">
        <v>5</v>
      </c>
      <c r="H541">
        <v>67</v>
      </c>
      <c r="I541">
        <v>335</v>
      </c>
      <c r="J541">
        <v>217</v>
      </c>
      <c r="K541">
        <v>118</v>
      </c>
      <c r="L541" t="s">
        <v>24</v>
      </c>
      <c r="M541" t="s">
        <v>19</v>
      </c>
      <c r="N541" t="str">
        <f>IF(SalesTbl[[#This Row],[Profit]]&gt;180,"High Profit","Low Profit")</f>
        <v>Low Profit</v>
      </c>
      <c r="O541" t="str">
        <f>TEXT(SalesTbl[[#This Row],[Date]],"mmm")</f>
        <v>Mar</v>
      </c>
    </row>
    <row r="542" spans="1:15" x14ac:dyDescent="0.3">
      <c r="A542">
        <v>1541</v>
      </c>
      <c r="B542" t="s">
        <v>151</v>
      </c>
      <c r="C542" t="s">
        <v>14</v>
      </c>
      <c r="D542" t="s">
        <v>35</v>
      </c>
      <c r="E542" t="s">
        <v>48</v>
      </c>
      <c r="F542" t="s">
        <v>23</v>
      </c>
      <c r="G542">
        <v>8</v>
      </c>
      <c r="H542">
        <v>262</v>
      </c>
      <c r="I542">
        <v>2096</v>
      </c>
      <c r="J542">
        <v>1425</v>
      </c>
      <c r="K542">
        <v>671</v>
      </c>
      <c r="L542" t="s">
        <v>18</v>
      </c>
      <c r="M542" t="s">
        <v>29</v>
      </c>
      <c r="N542" t="str">
        <f>IF(SalesTbl[[#This Row],[Profit]]&gt;180,"High Profit","Low Profit")</f>
        <v>High Profit</v>
      </c>
      <c r="O542" t="str">
        <f>TEXT(SalesTbl[[#This Row],[Date]],"mmm")</f>
        <v>Jan</v>
      </c>
    </row>
    <row r="543" spans="1:15" x14ac:dyDescent="0.3">
      <c r="A543">
        <v>1542</v>
      </c>
      <c r="B543" t="s">
        <v>209</v>
      </c>
      <c r="C543" t="s">
        <v>21</v>
      </c>
      <c r="D543" t="s">
        <v>26</v>
      </c>
      <c r="E543" t="s">
        <v>16</v>
      </c>
      <c r="F543" t="s">
        <v>17</v>
      </c>
      <c r="G543">
        <v>6</v>
      </c>
      <c r="H543">
        <v>196</v>
      </c>
      <c r="I543">
        <v>1176</v>
      </c>
      <c r="J543">
        <v>834</v>
      </c>
      <c r="K543">
        <v>342</v>
      </c>
      <c r="L543" t="s">
        <v>38</v>
      </c>
      <c r="M543" t="s">
        <v>19</v>
      </c>
      <c r="N543" t="str">
        <f>IF(SalesTbl[[#This Row],[Profit]]&gt;180,"High Profit","Low Profit")</f>
        <v>High Profit</v>
      </c>
      <c r="O543" t="str">
        <f>TEXT(SalesTbl[[#This Row],[Date]],"mmm")</f>
        <v>Jun</v>
      </c>
    </row>
    <row r="544" spans="1:15" x14ac:dyDescent="0.3">
      <c r="A544">
        <v>1543</v>
      </c>
      <c r="B544" t="s">
        <v>107</v>
      </c>
      <c r="C544" t="s">
        <v>40</v>
      </c>
      <c r="D544" t="s">
        <v>32</v>
      </c>
      <c r="E544" t="s">
        <v>22</v>
      </c>
      <c r="F544" t="s">
        <v>23</v>
      </c>
      <c r="G544">
        <v>9</v>
      </c>
      <c r="H544">
        <v>425</v>
      </c>
      <c r="I544">
        <v>3825</v>
      </c>
      <c r="J544">
        <v>3021</v>
      </c>
      <c r="K544">
        <v>804</v>
      </c>
      <c r="L544" t="s">
        <v>38</v>
      </c>
      <c r="M544" t="s">
        <v>19</v>
      </c>
      <c r="N544" t="str">
        <f>IF(SalesTbl[[#This Row],[Profit]]&gt;180,"High Profit","Low Profit")</f>
        <v>High Profit</v>
      </c>
      <c r="O544" t="str">
        <f>TEXT(SalesTbl[[#This Row],[Date]],"mmm")</f>
        <v>Apr</v>
      </c>
    </row>
    <row r="545" spans="1:15" x14ac:dyDescent="0.3">
      <c r="A545">
        <v>1544</v>
      </c>
      <c r="B545" t="s">
        <v>171</v>
      </c>
      <c r="C545" t="s">
        <v>31</v>
      </c>
      <c r="D545" t="s">
        <v>32</v>
      </c>
      <c r="E545" t="s">
        <v>41</v>
      </c>
      <c r="F545" t="s">
        <v>17</v>
      </c>
      <c r="G545">
        <v>5</v>
      </c>
      <c r="H545">
        <v>168</v>
      </c>
      <c r="I545">
        <v>840</v>
      </c>
      <c r="J545">
        <v>579</v>
      </c>
      <c r="K545">
        <v>261</v>
      </c>
      <c r="L545" t="s">
        <v>33</v>
      </c>
      <c r="M545" t="s">
        <v>29</v>
      </c>
      <c r="N545" t="str">
        <f>IF(SalesTbl[[#This Row],[Profit]]&gt;180,"High Profit","Low Profit")</f>
        <v>High Profit</v>
      </c>
      <c r="O545" t="str">
        <f>TEXT(SalesTbl[[#This Row],[Date]],"mmm")</f>
        <v>Apr</v>
      </c>
    </row>
    <row r="546" spans="1:15" x14ac:dyDescent="0.3">
      <c r="A546">
        <v>1545</v>
      </c>
      <c r="B546" t="s">
        <v>122</v>
      </c>
      <c r="C546" t="s">
        <v>21</v>
      </c>
      <c r="D546" t="s">
        <v>15</v>
      </c>
      <c r="E546" t="s">
        <v>41</v>
      </c>
      <c r="F546" t="s">
        <v>17</v>
      </c>
      <c r="G546">
        <v>4</v>
      </c>
      <c r="H546">
        <v>456</v>
      </c>
      <c r="I546">
        <v>1824</v>
      </c>
      <c r="J546">
        <v>1094</v>
      </c>
      <c r="K546">
        <v>730</v>
      </c>
      <c r="L546" t="s">
        <v>24</v>
      </c>
      <c r="M546" t="s">
        <v>19</v>
      </c>
      <c r="N546" t="str">
        <f>IF(SalesTbl[[#This Row],[Profit]]&gt;180,"High Profit","Low Profit")</f>
        <v>High Profit</v>
      </c>
      <c r="O546" t="str">
        <f>TEXT(SalesTbl[[#This Row],[Date]],"mmm")</f>
        <v>Jan</v>
      </c>
    </row>
    <row r="547" spans="1:15" x14ac:dyDescent="0.3">
      <c r="A547">
        <v>1546</v>
      </c>
      <c r="B547" t="s">
        <v>210</v>
      </c>
      <c r="C547" t="s">
        <v>31</v>
      </c>
      <c r="D547" t="s">
        <v>26</v>
      </c>
      <c r="E547" t="s">
        <v>54</v>
      </c>
      <c r="F547" t="s">
        <v>17</v>
      </c>
      <c r="G547">
        <v>8</v>
      </c>
      <c r="H547">
        <v>330</v>
      </c>
      <c r="I547">
        <v>2640</v>
      </c>
      <c r="J547">
        <v>1953</v>
      </c>
      <c r="K547">
        <v>687</v>
      </c>
      <c r="L547" t="s">
        <v>38</v>
      </c>
      <c r="M547" t="s">
        <v>29</v>
      </c>
      <c r="N547" t="str">
        <f>IF(SalesTbl[[#This Row],[Profit]]&gt;180,"High Profit","Low Profit")</f>
        <v>High Profit</v>
      </c>
      <c r="O547" t="str">
        <f>TEXT(SalesTbl[[#This Row],[Date]],"mmm")</f>
        <v>Apr</v>
      </c>
    </row>
    <row r="548" spans="1:15" x14ac:dyDescent="0.3">
      <c r="A548">
        <v>1547</v>
      </c>
      <c r="B548" t="s">
        <v>150</v>
      </c>
      <c r="C548" t="s">
        <v>31</v>
      </c>
      <c r="D548" t="s">
        <v>15</v>
      </c>
      <c r="E548" t="s">
        <v>41</v>
      </c>
      <c r="F548" t="s">
        <v>17</v>
      </c>
      <c r="G548">
        <v>5</v>
      </c>
      <c r="H548">
        <v>493</v>
      </c>
      <c r="I548">
        <v>2465</v>
      </c>
      <c r="J548">
        <v>1947</v>
      </c>
      <c r="K548">
        <v>518</v>
      </c>
      <c r="L548" t="s">
        <v>38</v>
      </c>
      <c r="M548" t="s">
        <v>29</v>
      </c>
      <c r="N548" t="str">
        <f>IF(SalesTbl[[#This Row],[Profit]]&gt;180,"High Profit","Low Profit")</f>
        <v>High Profit</v>
      </c>
      <c r="O548" t="str">
        <f>TEXT(SalesTbl[[#This Row],[Date]],"mmm")</f>
        <v>Jun</v>
      </c>
    </row>
    <row r="549" spans="1:15" x14ac:dyDescent="0.3">
      <c r="A549">
        <v>1476</v>
      </c>
      <c r="B549" t="s">
        <v>141</v>
      </c>
      <c r="C549" t="s">
        <v>40</v>
      </c>
      <c r="D549" t="s">
        <v>26</v>
      </c>
      <c r="E549" t="s">
        <v>54</v>
      </c>
      <c r="F549" t="s">
        <v>17</v>
      </c>
      <c r="G549">
        <v>5</v>
      </c>
      <c r="H549">
        <v>451</v>
      </c>
      <c r="I549">
        <v>2255</v>
      </c>
      <c r="J549">
        <v>1646</v>
      </c>
      <c r="K549">
        <v>609</v>
      </c>
      <c r="L549" t="s">
        <v>28</v>
      </c>
      <c r="M549" t="s">
        <v>19</v>
      </c>
      <c r="N549" t="str">
        <f>IF(SalesTbl[[#This Row],[Profit]]&gt;180,"High Profit","Low Profit")</f>
        <v>High Profit</v>
      </c>
      <c r="O549" t="str">
        <f>TEXT(SalesTbl[[#This Row],[Date]],"mmm")</f>
        <v>Jan</v>
      </c>
    </row>
    <row r="550" spans="1:15" x14ac:dyDescent="0.3">
      <c r="A550">
        <v>1549</v>
      </c>
      <c r="B550" t="s">
        <v>191</v>
      </c>
      <c r="C550" t="s">
        <v>31</v>
      </c>
      <c r="D550" t="s">
        <v>32</v>
      </c>
      <c r="E550" t="s">
        <v>41</v>
      </c>
      <c r="F550" t="s">
        <v>17</v>
      </c>
      <c r="G550">
        <v>6</v>
      </c>
      <c r="H550">
        <v>341</v>
      </c>
      <c r="I550">
        <v>2046</v>
      </c>
      <c r="J550">
        <v>1268</v>
      </c>
      <c r="K550">
        <v>778</v>
      </c>
      <c r="L550" t="s">
        <v>18</v>
      </c>
      <c r="M550" t="s">
        <v>19</v>
      </c>
      <c r="N550" t="str">
        <f>IF(SalesTbl[[#This Row],[Profit]]&gt;180,"High Profit","Low Profit")</f>
        <v>High Profit</v>
      </c>
      <c r="O550" t="str">
        <f>TEXT(SalesTbl[[#This Row],[Date]],"mmm")</f>
        <v>May</v>
      </c>
    </row>
    <row r="551" spans="1:15" x14ac:dyDescent="0.3">
      <c r="A551">
        <v>1550</v>
      </c>
      <c r="B551" t="s">
        <v>201</v>
      </c>
      <c r="C551" t="s">
        <v>31</v>
      </c>
      <c r="D551" t="s">
        <v>15</v>
      </c>
      <c r="E551" t="s">
        <v>27</v>
      </c>
      <c r="F551" t="s">
        <v>17</v>
      </c>
      <c r="G551">
        <v>7</v>
      </c>
      <c r="H551">
        <v>558</v>
      </c>
      <c r="I551">
        <v>3906</v>
      </c>
      <c r="J551">
        <v>2890</v>
      </c>
      <c r="K551">
        <v>1016</v>
      </c>
      <c r="L551" t="s">
        <v>28</v>
      </c>
      <c r="M551" t="s">
        <v>19</v>
      </c>
      <c r="N551" t="str">
        <f>IF(SalesTbl[[#This Row],[Profit]]&gt;180,"High Profit","Low Profit")</f>
        <v>High Profit</v>
      </c>
      <c r="O551" t="str">
        <f>TEXT(SalesTbl[[#This Row],[Date]],"mmm")</f>
        <v>Jan</v>
      </c>
    </row>
    <row r="552" spans="1:15" x14ac:dyDescent="0.3">
      <c r="A552">
        <v>1551</v>
      </c>
      <c r="B552" t="s">
        <v>103</v>
      </c>
      <c r="C552" t="s">
        <v>21</v>
      </c>
      <c r="D552" t="s">
        <v>15</v>
      </c>
      <c r="E552" t="s">
        <v>41</v>
      </c>
      <c r="F552" t="s">
        <v>17</v>
      </c>
      <c r="G552">
        <v>2</v>
      </c>
      <c r="H552">
        <v>780</v>
      </c>
      <c r="I552">
        <v>1560</v>
      </c>
      <c r="J552">
        <v>1092</v>
      </c>
      <c r="K552">
        <v>468</v>
      </c>
      <c r="L552" t="s">
        <v>24</v>
      </c>
      <c r="M552" t="s">
        <v>19</v>
      </c>
      <c r="N552" t="str">
        <f>IF(SalesTbl[[#This Row],[Profit]]&gt;180,"High Profit","Low Profit")</f>
        <v>High Profit</v>
      </c>
      <c r="O552" t="str">
        <f>TEXT(SalesTbl[[#This Row],[Date]],"mmm")</f>
        <v>Feb</v>
      </c>
    </row>
    <row r="553" spans="1:15" x14ac:dyDescent="0.3">
      <c r="A553">
        <v>1552</v>
      </c>
      <c r="B553" t="s">
        <v>143</v>
      </c>
      <c r="C553" t="s">
        <v>21</v>
      </c>
      <c r="D553" t="s">
        <v>32</v>
      </c>
      <c r="E553" t="s">
        <v>16</v>
      </c>
      <c r="F553" t="s">
        <v>17</v>
      </c>
      <c r="G553">
        <v>1</v>
      </c>
      <c r="H553">
        <v>814</v>
      </c>
      <c r="I553">
        <v>814</v>
      </c>
      <c r="J553">
        <v>529</v>
      </c>
      <c r="K553">
        <v>285</v>
      </c>
      <c r="L553" t="s">
        <v>33</v>
      </c>
      <c r="M553" t="s">
        <v>19</v>
      </c>
      <c r="N553" t="str">
        <f>IF(SalesTbl[[#This Row],[Profit]]&gt;180,"High Profit","Low Profit")</f>
        <v>High Profit</v>
      </c>
      <c r="O553" t="str">
        <f>TEXT(SalesTbl[[#This Row],[Date]],"mmm")</f>
        <v>Mar</v>
      </c>
    </row>
    <row r="554" spans="1:15" x14ac:dyDescent="0.3">
      <c r="A554">
        <v>1553</v>
      </c>
      <c r="B554" t="s">
        <v>62</v>
      </c>
      <c r="C554" t="s">
        <v>21</v>
      </c>
      <c r="D554" t="s">
        <v>26</v>
      </c>
      <c r="E554" t="s">
        <v>22</v>
      </c>
      <c r="F554" t="s">
        <v>23</v>
      </c>
      <c r="G554">
        <v>1</v>
      </c>
      <c r="H554">
        <v>160</v>
      </c>
      <c r="I554">
        <v>160</v>
      </c>
      <c r="J554">
        <v>105</v>
      </c>
      <c r="K554">
        <v>55</v>
      </c>
      <c r="L554" t="s">
        <v>28</v>
      </c>
      <c r="M554" t="s">
        <v>19</v>
      </c>
      <c r="N554" t="str">
        <f>IF(SalesTbl[[#This Row],[Profit]]&gt;180,"High Profit","Low Profit")</f>
        <v>Low Profit</v>
      </c>
      <c r="O554" t="str">
        <f>TEXT(SalesTbl[[#This Row],[Date]],"mmm")</f>
        <v>May</v>
      </c>
    </row>
    <row r="555" spans="1:15" x14ac:dyDescent="0.3">
      <c r="A555">
        <v>1348</v>
      </c>
      <c r="B555" t="s">
        <v>57</v>
      </c>
      <c r="C555" t="s">
        <v>40</v>
      </c>
      <c r="D555" t="s">
        <v>32</v>
      </c>
      <c r="E555" t="s">
        <v>54</v>
      </c>
      <c r="F555" t="s">
        <v>17</v>
      </c>
      <c r="G555">
        <v>3</v>
      </c>
      <c r="H555">
        <v>628</v>
      </c>
      <c r="I555">
        <v>1884</v>
      </c>
      <c r="J555">
        <v>1299</v>
      </c>
      <c r="K555">
        <v>585</v>
      </c>
      <c r="L555" t="s">
        <v>28</v>
      </c>
      <c r="M555" t="s">
        <v>29</v>
      </c>
      <c r="N555" t="str">
        <f>IF(SalesTbl[[#This Row],[Profit]]&gt;180,"High Profit","Low Profit")</f>
        <v>High Profit</v>
      </c>
      <c r="O555" t="str">
        <f>TEXT(SalesTbl[[#This Row],[Date]],"mmm")</f>
        <v>Apr</v>
      </c>
    </row>
    <row r="556" spans="1:15" x14ac:dyDescent="0.3">
      <c r="A556">
        <v>1555</v>
      </c>
      <c r="B556" t="s">
        <v>49</v>
      </c>
      <c r="C556" t="s">
        <v>31</v>
      </c>
      <c r="D556" t="s">
        <v>26</v>
      </c>
      <c r="E556" t="s">
        <v>41</v>
      </c>
      <c r="F556" t="s">
        <v>17</v>
      </c>
      <c r="G556">
        <v>7</v>
      </c>
      <c r="H556">
        <v>533</v>
      </c>
      <c r="I556">
        <v>3731</v>
      </c>
      <c r="J556">
        <v>2537</v>
      </c>
      <c r="K556">
        <v>1194</v>
      </c>
      <c r="L556" t="s">
        <v>18</v>
      </c>
      <c r="M556" t="s">
        <v>19</v>
      </c>
      <c r="N556" t="str">
        <f>IF(SalesTbl[[#This Row],[Profit]]&gt;180,"High Profit","Low Profit")</f>
        <v>High Profit</v>
      </c>
      <c r="O556" t="str">
        <f>TEXT(SalesTbl[[#This Row],[Date]],"mmm")</f>
        <v>Jan</v>
      </c>
    </row>
    <row r="557" spans="1:15" x14ac:dyDescent="0.3">
      <c r="A557">
        <v>1556</v>
      </c>
      <c r="B557" t="s">
        <v>72</v>
      </c>
      <c r="C557" t="s">
        <v>40</v>
      </c>
      <c r="D557" t="s">
        <v>35</v>
      </c>
      <c r="E557" t="s">
        <v>48</v>
      </c>
      <c r="F557" t="s">
        <v>23</v>
      </c>
      <c r="G557">
        <v>3</v>
      </c>
      <c r="H557">
        <v>527</v>
      </c>
      <c r="I557">
        <v>1581</v>
      </c>
      <c r="J557">
        <v>980</v>
      </c>
      <c r="K557">
        <v>601</v>
      </c>
      <c r="L557" t="s">
        <v>24</v>
      </c>
      <c r="M557" t="s">
        <v>29</v>
      </c>
      <c r="N557" t="str">
        <f>IF(SalesTbl[[#This Row],[Profit]]&gt;180,"High Profit","Low Profit")</f>
        <v>High Profit</v>
      </c>
      <c r="O557" t="str">
        <f>TEXT(SalesTbl[[#This Row],[Date]],"mmm")</f>
        <v>Mar</v>
      </c>
    </row>
    <row r="558" spans="1:15" x14ac:dyDescent="0.3">
      <c r="A558">
        <v>1557</v>
      </c>
      <c r="B558" t="s">
        <v>163</v>
      </c>
      <c r="C558" t="s">
        <v>40</v>
      </c>
      <c r="D558" t="s">
        <v>15</v>
      </c>
      <c r="E558" t="s">
        <v>48</v>
      </c>
      <c r="F558" t="s">
        <v>23</v>
      </c>
      <c r="G558">
        <v>2</v>
      </c>
      <c r="H558">
        <v>160</v>
      </c>
      <c r="I558">
        <v>320</v>
      </c>
      <c r="J558">
        <v>204</v>
      </c>
      <c r="K558">
        <v>116</v>
      </c>
      <c r="L558" t="s">
        <v>28</v>
      </c>
      <c r="M558" t="s">
        <v>19</v>
      </c>
      <c r="N558" t="str">
        <f>IF(SalesTbl[[#This Row],[Profit]]&gt;180,"High Profit","Low Profit")</f>
        <v>Low Profit</v>
      </c>
      <c r="O558" t="str">
        <f>TEXT(SalesTbl[[#This Row],[Date]],"mmm")</f>
        <v>Feb</v>
      </c>
    </row>
    <row r="559" spans="1:15" x14ac:dyDescent="0.3">
      <c r="A559">
        <v>1558</v>
      </c>
      <c r="B559" t="s">
        <v>86</v>
      </c>
      <c r="C559" t="s">
        <v>14</v>
      </c>
      <c r="D559" t="s">
        <v>35</v>
      </c>
      <c r="E559" t="s">
        <v>54</v>
      </c>
      <c r="F559" t="s">
        <v>17</v>
      </c>
      <c r="G559">
        <v>8</v>
      </c>
      <c r="H559">
        <v>469</v>
      </c>
      <c r="I559">
        <v>3752</v>
      </c>
      <c r="J559">
        <v>2438</v>
      </c>
      <c r="K559">
        <v>1314</v>
      </c>
      <c r="L559" t="s">
        <v>18</v>
      </c>
      <c r="M559" t="s">
        <v>19</v>
      </c>
      <c r="N559" t="str">
        <f>IF(SalesTbl[[#This Row],[Profit]]&gt;180,"High Profit","Low Profit")</f>
        <v>High Profit</v>
      </c>
      <c r="O559" t="str">
        <f>TEXT(SalesTbl[[#This Row],[Date]],"mmm")</f>
        <v>Apr</v>
      </c>
    </row>
    <row r="560" spans="1:15" x14ac:dyDescent="0.3">
      <c r="A560">
        <v>1734</v>
      </c>
      <c r="B560" t="s">
        <v>90</v>
      </c>
      <c r="C560" t="s">
        <v>40</v>
      </c>
      <c r="D560" t="s">
        <v>26</v>
      </c>
      <c r="E560" t="s">
        <v>54</v>
      </c>
      <c r="F560" t="s">
        <v>17</v>
      </c>
      <c r="G560">
        <v>2</v>
      </c>
      <c r="H560">
        <v>833</v>
      </c>
      <c r="I560">
        <v>1666</v>
      </c>
      <c r="J560">
        <v>1082</v>
      </c>
      <c r="K560">
        <v>584</v>
      </c>
      <c r="L560" t="s">
        <v>33</v>
      </c>
      <c r="M560" t="s">
        <v>29</v>
      </c>
      <c r="N560" t="str">
        <f>IF(SalesTbl[[#This Row],[Profit]]&gt;180,"High Profit","Low Profit")</f>
        <v>High Profit</v>
      </c>
      <c r="O560" t="str">
        <f>TEXT(SalesTbl[[#This Row],[Date]],"mmm")</f>
        <v>Jan</v>
      </c>
    </row>
    <row r="561" spans="1:15" x14ac:dyDescent="0.3">
      <c r="A561">
        <v>1560</v>
      </c>
      <c r="B561" t="s">
        <v>94</v>
      </c>
      <c r="C561" t="s">
        <v>21</v>
      </c>
      <c r="D561" t="s">
        <v>15</v>
      </c>
      <c r="E561" t="s">
        <v>54</v>
      </c>
      <c r="F561" t="s">
        <v>17</v>
      </c>
      <c r="G561">
        <v>10</v>
      </c>
      <c r="H561">
        <v>255</v>
      </c>
      <c r="I561">
        <v>2550</v>
      </c>
      <c r="J561">
        <v>2014</v>
      </c>
      <c r="K561">
        <v>536</v>
      </c>
      <c r="L561" t="s">
        <v>33</v>
      </c>
      <c r="M561" t="s">
        <v>19</v>
      </c>
      <c r="N561" t="str">
        <f>IF(SalesTbl[[#This Row],[Profit]]&gt;180,"High Profit","Low Profit")</f>
        <v>High Profit</v>
      </c>
      <c r="O561" t="str">
        <f>TEXT(SalesTbl[[#This Row],[Date]],"mmm")</f>
        <v>Mar</v>
      </c>
    </row>
    <row r="562" spans="1:15" x14ac:dyDescent="0.3">
      <c r="A562">
        <v>1045</v>
      </c>
      <c r="B562" t="s">
        <v>74</v>
      </c>
      <c r="C562" t="s">
        <v>40</v>
      </c>
      <c r="D562" t="s">
        <v>35</v>
      </c>
      <c r="E562" t="s">
        <v>16</v>
      </c>
      <c r="F562" t="s">
        <v>17</v>
      </c>
      <c r="G562">
        <v>3</v>
      </c>
      <c r="H562">
        <v>859</v>
      </c>
      <c r="I562">
        <v>2577</v>
      </c>
      <c r="J562">
        <v>2010</v>
      </c>
      <c r="K562">
        <v>567</v>
      </c>
      <c r="L562" t="s">
        <v>38</v>
      </c>
      <c r="M562" t="s">
        <v>29</v>
      </c>
      <c r="N562" t="str">
        <f>IF(SalesTbl[[#This Row],[Profit]]&gt;180,"High Profit","Low Profit")</f>
        <v>High Profit</v>
      </c>
      <c r="O562" t="str">
        <f>TEXT(SalesTbl[[#This Row],[Date]],"mmm")</f>
        <v>Feb</v>
      </c>
    </row>
    <row r="563" spans="1:15" x14ac:dyDescent="0.3">
      <c r="A563">
        <v>1562</v>
      </c>
      <c r="B563" t="s">
        <v>202</v>
      </c>
      <c r="C563" t="s">
        <v>40</v>
      </c>
      <c r="D563" t="s">
        <v>35</v>
      </c>
      <c r="E563" t="s">
        <v>22</v>
      </c>
      <c r="F563" t="s">
        <v>23</v>
      </c>
      <c r="G563">
        <v>8</v>
      </c>
      <c r="H563">
        <v>425</v>
      </c>
      <c r="I563">
        <v>3400</v>
      </c>
      <c r="J563">
        <v>2516</v>
      </c>
      <c r="K563">
        <v>884</v>
      </c>
      <c r="L563" t="s">
        <v>38</v>
      </c>
      <c r="M563" t="s">
        <v>19</v>
      </c>
      <c r="N563" t="str">
        <f>IF(SalesTbl[[#This Row],[Profit]]&gt;180,"High Profit","Low Profit")</f>
        <v>High Profit</v>
      </c>
      <c r="O563" t="str">
        <f>TEXT(SalesTbl[[#This Row],[Date]],"mmm")</f>
        <v>Feb</v>
      </c>
    </row>
    <row r="564" spans="1:15" x14ac:dyDescent="0.3">
      <c r="A564">
        <v>1563</v>
      </c>
      <c r="B564" t="s">
        <v>108</v>
      </c>
      <c r="C564" t="s">
        <v>14</v>
      </c>
      <c r="D564" t="s">
        <v>15</v>
      </c>
      <c r="E564" t="s">
        <v>48</v>
      </c>
      <c r="F564" t="s">
        <v>23</v>
      </c>
      <c r="G564">
        <v>3</v>
      </c>
      <c r="H564">
        <v>914</v>
      </c>
      <c r="I564">
        <v>2742</v>
      </c>
      <c r="J564">
        <v>1919</v>
      </c>
      <c r="K564">
        <v>823</v>
      </c>
      <c r="L564" t="s">
        <v>38</v>
      </c>
      <c r="M564" t="s">
        <v>29</v>
      </c>
      <c r="N564" t="str">
        <f>IF(SalesTbl[[#This Row],[Profit]]&gt;180,"High Profit","Low Profit")</f>
        <v>High Profit</v>
      </c>
      <c r="O564" t="str">
        <f>TEXT(SalesTbl[[#This Row],[Date]],"mmm")</f>
        <v>Apr</v>
      </c>
    </row>
    <row r="565" spans="1:15" x14ac:dyDescent="0.3">
      <c r="A565">
        <v>1564</v>
      </c>
      <c r="B565" t="s">
        <v>68</v>
      </c>
      <c r="C565" t="s">
        <v>21</v>
      </c>
      <c r="D565" t="s">
        <v>26</v>
      </c>
      <c r="E565" t="s">
        <v>22</v>
      </c>
      <c r="F565" t="s">
        <v>23</v>
      </c>
      <c r="G565">
        <v>2</v>
      </c>
      <c r="H565">
        <v>143</v>
      </c>
      <c r="I565">
        <v>286</v>
      </c>
      <c r="J565">
        <v>188</v>
      </c>
      <c r="K565">
        <v>98</v>
      </c>
      <c r="L565" t="s">
        <v>18</v>
      </c>
      <c r="M565" t="s">
        <v>19</v>
      </c>
      <c r="N565" t="str">
        <f>IF(SalesTbl[[#This Row],[Profit]]&gt;180,"High Profit","Low Profit")</f>
        <v>Low Profit</v>
      </c>
      <c r="O565" t="str">
        <f>TEXT(SalesTbl[[#This Row],[Date]],"mmm")</f>
        <v>Apr</v>
      </c>
    </row>
    <row r="566" spans="1:15" x14ac:dyDescent="0.3">
      <c r="A566">
        <v>1565</v>
      </c>
      <c r="B566" t="s">
        <v>97</v>
      </c>
      <c r="C566" t="s">
        <v>31</v>
      </c>
      <c r="D566" t="s">
        <v>26</v>
      </c>
      <c r="E566" t="s">
        <v>27</v>
      </c>
      <c r="F566" t="s">
        <v>17</v>
      </c>
      <c r="G566">
        <v>3</v>
      </c>
      <c r="H566">
        <v>896</v>
      </c>
      <c r="I566">
        <v>2688</v>
      </c>
      <c r="J566">
        <v>1720</v>
      </c>
      <c r="K566">
        <v>968</v>
      </c>
      <c r="L566" t="s">
        <v>33</v>
      </c>
      <c r="M566" t="s">
        <v>19</v>
      </c>
      <c r="N566" t="str">
        <f>IF(SalesTbl[[#This Row],[Profit]]&gt;180,"High Profit","Low Profit")</f>
        <v>High Profit</v>
      </c>
      <c r="O566" t="str">
        <f>TEXT(SalesTbl[[#This Row],[Date]],"mmm")</f>
        <v>Apr</v>
      </c>
    </row>
    <row r="567" spans="1:15" x14ac:dyDescent="0.3">
      <c r="A567">
        <v>1566</v>
      </c>
      <c r="B567" t="s">
        <v>115</v>
      </c>
      <c r="C567" t="s">
        <v>14</v>
      </c>
      <c r="D567" t="s">
        <v>32</v>
      </c>
      <c r="E567" t="s">
        <v>41</v>
      </c>
      <c r="F567" t="s">
        <v>17</v>
      </c>
      <c r="G567">
        <v>8</v>
      </c>
      <c r="H567">
        <v>497</v>
      </c>
      <c r="I567">
        <v>3976</v>
      </c>
      <c r="J567">
        <v>3141</v>
      </c>
      <c r="K567">
        <v>835</v>
      </c>
      <c r="L567" t="s">
        <v>38</v>
      </c>
      <c r="M567" t="s">
        <v>19</v>
      </c>
      <c r="N567" t="str">
        <f>IF(SalesTbl[[#This Row],[Profit]]&gt;180,"High Profit","Low Profit")</f>
        <v>High Profit</v>
      </c>
      <c r="O567" t="str">
        <f>TEXT(SalesTbl[[#This Row],[Date]],"mmm")</f>
        <v>Jun</v>
      </c>
    </row>
    <row r="568" spans="1:15" x14ac:dyDescent="0.3">
      <c r="A568">
        <v>1396</v>
      </c>
      <c r="B568" t="s">
        <v>151</v>
      </c>
      <c r="C568" t="s">
        <v>40</v>
      </c>
      <c r="D568" t="s">
        <v>15</v>
      </c>
      <c r="E568" t="s">
        <v>41</v>
      </c>
      <c r="F568" t="s">
        <v>17</v>
      </c>
      <c r="G568">
        <v>10</v>
      </c>
      <c r="H568">
        <v>164</v>
      </c>
      <c r="I568">
        <v>1640</v>
      </c>
      <c r="J568">
        <v>1082</v>
      </c>
      <c r="K568">
        <v>558</v>
      </c>
      <c r="L568" t="s">
        <v>28</v>
      </c>
      <c r="M568" t="s">
        <v>19</v>
      </c>
      <c r="N568" t="str">
        <f>IF(SalesTbl[[#This Row],[Profit]]&gt;180,"High Profit","Low Profit")</f>
        <v>High Profit</v>
      </c>
      <c r="O568" t="str">
        <f>TEXT(SalesTbl[[#This Row],[Date]],"mmm")</f>
        <v>Jan</v>
      </c>
    </row>
    <row r="569" spans="1:15" x14ac:dyDescent="0.3">
      <c r="A569">
        <v>1568</v>
      </c>
      <c r="B569" t="s">
        <v>75</v>
      </c>
      <c r="C569" t="s">
        <v>14</v>
      </c>
      <c r="D569" t="s">
        <v>35</v>
      </c>
      <c r="E569" t="s">
        <v>54</v>
      </c>
      <c r="F569" t="s">
        <v>17</v>
      </c>
      <c r="G569">
        <v>2</v>
      </c>
      <c r="H569">
        <v>296</v>
      </c>
      <c r="I569">
        <v>592</v>
      </c>
      <c r="J569">
        <v>467</v>
      </c>
      <c r="K569">
        <v>125</v>
      </c>
      <c r="L569" t="s">
        <v>33</v>
      </c>
      <c r="M569" t="s">
        <v>29</v>
      </c>
      <c r="N569" t="str">
        <f>IF(SalesTbl[[#This Row],[Profit]]&gt;180,"High Profit","Low Profit")</f>
        <v>Low Profit</v>
      </c>
      <c r="O569" t="str">
        <f>TEXT(SalesTbl[[#This Row],[Date]],"mmm")</f>
        <v>Jun</v>
      </c>
    </row>
    <row r="570" spans="1:15" x14ac:dyDescent="0.3">
      <c r="A570">
        <v>1021</v>
      </c>
      <c r="B570" t="s">
        <v>53</v>
      </c>
      <c r="C570" t="s">
        <v>40</v>
      </c>
      <c r="D570" t="s">
        <v>26</v>
      </c>
      <c r="E570" t="s">
        <v>54</v>
      </c>
      <c r="F570" t="s">
        <v>17</v>
      </c>
      <c r="G570">
        <v>2</v>
      </c>
      <c r="H570">
        <v>808</v>
      </c>
      <c r="I570">
        <v>1616</v>
      </c>
      <c r="J570">
        <v>1115</v>
      </c>
      <c r="K570">
        <v>501</v>
      </c>
      <c r="L570" t="s">
        <v>28</v>
      </c>
      <c r="M570" t="s">
        <v>29</v>
      </c>
      <c r="N570" t="str">
        <f>IF(SalesTbl[[#This Row],[Profit]]&gt;180,"High Profit","Low Profit")</f>
        <v>High Profit</v>
      </c>
      <c r="O570" t="str">
        <f>TEXT(SalesTbl[[#This Row],[Date]],"mmm")</f>
        <v>Apr</v>
      </c>
    </row>
    <row r="571" spans="1:15" x14ac:dyDescent="0.3">
      <c r="A571">
        <v>1570</v>
      </c>
      <c r="B571" t="s">
        <v>120</v>
      </c>
      <c r="C571" t="s">
        <v>21</v>
      </c>
      <c r="D571" t="s">
        <v>26</v>
      </c>
      <c r="E571" t="s">
        <v>48</v>
      </c>
      <c r="F571" t="s">
        <v>23</v>
      </c>
      <c r="G571">
        <v>1</v>
      </c>
      <c r="H571">
        <v>413</v>
      </c>
      <c r="I571">
        <v>413</v>
      </c>
      <c r="J571">
        <v>301</v>
      </c>
      <c r="K571">
        <v>112</v>
      </c>
      <c r="L571" t="s">
        <v>24</v>
      </c>
      <c r="M571" t="s">
        <v>29</v>
      </c>
      <c r="N571" t="str">
        <f>IF(SalesTbl[[#This Row],[Profit]]&gt;180,"High Profit","Low Profit")</f>
        <v>Low Profit</v>
      </c>
      <c r="O571" t="str">
        <f>TEXT(SalesTbl[[#This Row],[Date]],"mmm")</f>
        <v>Jan</v>
      </c>
    </row>
    <row r="572" spans="1:15" x14ac:dyDescent="0.3">
      <c r="A572">
        <v>1571</v>
      </c>
      <c r="B572" t="s">
        <v>96</v>
      </c>
      <c r="C572" t="s">
        <v>31</v>
      </c>
      <c r="D572" t="s">
        <v>32</v>
      </c>
      <c r="E572" t="s">
        <v>48</v>
      </c>
      <c r="F572" t="s">
        <v>23</v>
      </c>
      <c r="G572">
        <v>8</v>
      </c>
      <c r="H572">
        <v>950</v>
      </c>
      <c r="I572">
        <v>7600</v>
      </c>
      <c r="J572">
        <v>5928</v>
      </c>
      <c r="K572">
        <v>1672</v>
      </c>
      <c r="L572" t="s">
        <v>24</v>
      </c>
      <c r="M572" t="s">
        <v>29</v>
      </c>
      <c r="N572" t="str">
        <f>IF(SalesTbl[[#This Row],[Profit]]&gt;180,"High Profit","Low Profit")</f>
        <v>High Profit</v>
      </c>
      <c r="O572" t="str">
        <f>TEXT(SalesTbl[[#This Row],[Date]],"mmm")</f>
        <v>Jun</v>
      </c>
    </row>
    <row r="573" spans="1:15" x14ac:dyDescent="0.3">
      <c r="A573">
        <v>1572</v>
      </c>
      <c r="B573" t="s">
        <v>63</v>
      </c>
      <c r="C573" t="s">
        <v>31</v>
      </c>
      <c r="D573" t="s">
        <v>32</v>
      </c>
      <c r="E573" t="s">
        <v>22</v>
      </c>
      <c r="F573" t="s">
        <v>23</v>
      </c>
      <c r="G573">
        <v>2</v>
      </c>
      <c r="H573">
        <v>966</v>
      </c>
      <c r="I573">
        <v>1932</v>
      </c>
      <c r="J573">
        <v>1178</v>
      </c>
      <c r="K573">
        <v>754</v>
      </c>
      <c r="L573" t="s">
        <v>38</v>
      </c>
      <c r="M573" t="s">
        <v>19</v>
      </c>
      <c r="N573" t="str">
        <f>IF(SalesTbl[[#This Row],[Profit]]&gt;180,"High Profit","Low Profit")</f>
        <v>High Profit</v>
      </c>
      <c r="O573" t="str">
        <f>TEXT(SalesTbl[[#This Row],[Date]],"mmm")</f>
        <v>Jan</v>
      </c>
    </row>
    <row r="574" spans="1:15" x14ac:dyDescent="0.3">
      <c r="A574">
        <v>1573</v>
      </c>
      <c r="B574" t="s">
        <v>84</v>
      </c>
      <c r="C574" t="s">
        <v>21</v>
      </c>
      <c r="D574" t="s">
        <v>32</v>
      </c>
      <c r="E574" t="s">
        <v>54</v>
      </c>
      <c r="F574" t="s">
        <v>17</v>
      </c>
      <c r="G574">
        <v>1</v>
      </c>
      <c r="H574">
        <v>349</v>
      </c>
      <c r="I574">
        <v>349</v>
      </c>
      <c r="J574">
        <v>212</v>
      </c>
      <c r="K574">
        <v>137</v>
      </c>
      <c r="L574" t="s">
        <v>33</v>
      </c>
      <c r="M574" t="s">
        <v>19</v>
      </c>
      <c r="N574" t="str">
        <f>IF(SalesTbl[[#This Row],[Profit]]&gt;180,"High Profit","Low Profit")</f>
        <v>Low Profit</v>
      </c>
      <c r="O574" t="str">
        <f>TEXT(SalesTbl[[#This Row],[Date]],"mmm")</f>
        <v>Apr</v>
      </c>
    </row>
    <row r="575" spans="1:15" x14ac:dyDescent="0.3">
      <c r="A575">
        <v>1574</v>
      </c>
      <c r="B575" t="s">
        <v>43</v>
      </c>
      <c r="C575" t="s">
        <v>21</v>
      </c>
      <c r="D575" t="s">
        <v>32</v>
      </c>
      <c r="E575" t="s">
        <v>16</v>
      </c>
      <c r="F575" t="s">
        <v>17</v>
      </c>
      <c r="G575">
        <v>10</v>
      </c>
      <c r="H575">
        <v>969</v>
      </c>
      <c r="I575">
        <v>9690</v>
      </c>
      <c r="J575">
        <v>6395</v>
      </c>
      <c r="K575">
        <v>3295</v>
      </c>
      <c r="L575" t="s">
        <v>24</v>
      </c>
      <c r="M575" t="s">
        <v>29</v>
      </c>
      <c r="N575" t="str">
        <f>IF(SalesTbl[[#This Row],[Profit]]&gt;180,"High Profit","Low Profit")</f>
        <v>High Profit</v>
      </c>
      <c r="O575" t="str">
        <f>TEXT(SalesTbl[[#This Row],[Date]],"mmm")</f>
        <v>Apr</v>
      </c>
    </row>
    <row r="576" spans="1:15" x14ac:dyDescent="0.3">
      <c r="A576">
        <v>1575</v>
      </c>
      <c r="B576" t="s">
        <v>201</v>
      </c>
      <c r="C576" t="s">
        <v>21</v>
      </c>
      <c r="D576" t="s">
        <v>15</v>
      </c>
      <c r="E576" t="s">
        <v>41</v>
      </c>
      <c r="F576" t="s">
        <v>17</v>
      </c>
      <c r="G576">
        <v>4</v>
      </c>
      <c r="H576">
        <v>425</v>
      </c>
      <c r="I576">
        <v>1700</v>
      </c>
      <c r="J576">
        <v>1207</v>
      </c>
      <c r="K576">
        <v>493</v>
      </c>
      <c r="L576" t="s">
        <v>38</v>
      </c>
      <c r="M576" t="s">
        <v>29</v>
      </c>
      <c r="N576" t="str">
        <f>IF(SalesTbl[[#This Row],[Profit]]&gt;180,"High Profit","Low Profit")</f>
        <v>High Profit</v>
      </c>
      <c r="O576" t="str">
        <f>TEXT(SalesTbl[[#This Row],[Date]],"mmm")</f>
        <v>Jan</v>
      </c>
    </row>
    <row r="577" spans="1:15" x14ac:dyDescent="0.3">
      <c r="A577">
        <v>1576</v>
      </c>
      <c r="B577" t="s">
        <v>66</v>
      </c>
      <c r="C577" t="s">
        <v>40</v>
      </c>
      <c r="D577" t="s">
        <v>15</v>
      </c>
      <c r="E577" t="s">
        <v>22</v>
      </c>
      <c r="F577" t="s">
        <v>23</v>
      </c>
      <c r="G577">
        <v>4</v>
      </c>
      <c r="H577">
        <v>691</v>
      </c>
      <c r="I577">
        <v>2764</v>
      </c>
      <c r="J577">
        <v>1658</v>
      </c>
      <c r="K577">
        <v>1106</v>
      </c>
      <c r="L577" t="s">
        <v>38</v>
      </c>
      <c r="M577" t="s">
        <v>29</v>
      </c>
      <c r="N577" t="str">
        <f>IF(SalesTbl[[#This Row],[Profit]]&gt;180,"High Profit","Low Profit")</f>
        <v>High Profit</v>
      </c>
      <c r="O577" t="str">
        <f>TEXT(SalesTbl[[#This Row],[Date]],"mmm")</f>
        <v>Apr</v>
      </c>
    </row>
    <row r="578" spans="1:15" x14ac:dyDescent="0.3">
      <c r="A578">
        <v>1577</v>
      </c>
      <c r="B578" t="s">
        <v>201</v>
      </c>
      <c r="C578" t="s">
        <v>21</v>
      </c>
      <c r="D578" t="s">
        <v>35</v>
      </c>
      <c r="E578" t="s">
        <v>22</v>
      </c>
      <c r="F578" t="s">
        <v>23</v>
      </c>
      <c r="G578">
        <v>3</v>
      </c>
      <c r="H578">
        <v>660</v>
      </c>
      <c r="I578">
        <v>1980</v>
      </c>
      <c r="J578">
        <v>1326</v>
      </c>
      <c r="K578">
        <v>654</v>
      </c>
      <c r="L578" t="s">
        <v>38</v>
      </c>
      <c r="M578" t="s">
        <v>19</v>
      </c>
      <c r="N578" t="str">
        <f>IF(SalesTbl[[#This Row],[Profit]]&gt;180,"High Profit","Low Profit")</f>
        <v>High Profit</v>
      </c>
      <c r="O578" t="str">
        <f>TEXT(SalesTbl[[#This Row],[Date]],"mmm")</f>
        <v>Jan</v>
      </c>
    </row>
    <row r="579" spans="1:15" x14ac:dyDescent="0.3">
      <c r="A579">
        <v>1578</v>
      </c>
      <c r="B579" t="s">
        <v>13</v>
      </c>
      <c r="C579" t="s">
        <v>40</v>
      </c>
      <c r="D579" t="s">
        <v>26</v>
      </c>
      <c r="E579" t="s">
        <v>22</v>
      </c>
      <c r="F579" t="s">
        <v>23</v>
      </c>
      <c r="G579">
        <v>7</v>
      </c>
      <c r="H579">
        <v>219</v>
      </c>
      <c r="I579">
        <v>1533</v>
      </c>
      <c r="J579">
        <v>1226</v>
      </c>
      <c r="K579">
        <v>307</v>
      </c>
      <c r="L579" t="s">
        <v>38</v>
      </c>
      <c r="M579" t="s">
        <v>19</v>
      </c>
      <c r="N579" t="str">
        <f>IF(SalesTbl[[#This Row],[Profit]]&gt;180,"High Profit","Low Profit")</f>
        <v>High Profit</v>
      </c>
      <c r="O579" t="str">
        <f>TEXT(SalesTbl[[#This Row],[Date]],"mmm")</f>
        <v>Feb</v>
      </c>
    </row>
    <row r="580" spans="1:15" x14ac:dyDescent="0.3">
      <c r="A580">
        <v>1279</v>
      </c>
      <c r="B580" t="s">
        <v>71</v>
      </c>
      <c r="C580" t="s">
        <v>40</v>
      </c>
      <c r="D580" t="s">
        <v>32</v>
      </c>
      <c r="E580" t="s">
        <v>27</v>
      </c>
      <c r="F580" t="s">
        <v>17</v>
      </c>
      <c r="G580">
        <v>9</v>
      </c>
      <c r="H580">
        <v>250</v>
      </c>
      <c r="I580">
        <v>2250</v>
      </c>
      <c r="J580">
        <v>1755</v>
      </c>
      <c r="K580">
        <v>495</v>
      </c>
      <c r="L580" t="s">
        <v>24</v>
      </c>
      <c r="M580" t="s">
        <v>19</v>
      </c>
      <c r="N580" t="str">
        <f>IF(SalesTbl[[#This Row],[Profit]]&gt;180,"High Profit","Low Profit")</f>
        <v>High Profit</v>
      </c>
      <c r="O580" t="str">
        <f>TEXT(SalesTbl[[#This Row],[Date]],"mmm")</f>
        <v>Apr</v>
      </c>
    </row>
    <row r="581" spans="1:15" x14ac:dyDescent="0.3">
      <c r="A581">
        <v>1580</v>
      </c>
      <c r="B581" t="s">
        <v>75</v>
      </c>
      <c r="C581" t="s">
        <v>21</v>
      </c>
      <c r="D581" t="s">
        <v>15</v>
      </c>
      <c r="E581" t="s">
        <v>54</v>
      </c>
      <c r="F581" t="s">
        <v>17</v>
      </c>
      <c r="G581">
        <v>6</v>
      </c>
      <c r="H581">
        <v>183</v>
      </c>
      <c r="I581">
        <v>1098</v>
      </c>
      <c r="J581">
        <v>702</v>
      </c>
      <c r="K581">
        <v>396</v>
      </c>
      <c r="L581" t="s">
        <v>33</v>
      </c>
      <c r="M581" t="s">
        <v>29</v>
      </c>
      <c r="N581" t="str">
        <f>IF(SalesTbl[[#This Row],[Profit]]&gt;180,"High Profit","Low Profit")</f>
        <v>High Profit</v>
      </c>
      <c r="O581" t="str">
        <f>TEXT(SalesTbl[[#This Row],[Date]],"mmm")</f>
        <v>Jun</v>
      </c>
    </row>
    <row r="582" spans="1:15" x14ac:dyDescent="0.3">
      <c r="A582">
        <v>1581</v>
      </c>
      <c r="B582" t="s">
        <v>76</v>
      </c>
      <c r="C582" t="s">
        <v>21</v>
      </c>
      <c r="D582" t="s">
        <v>15</v>
      </c>
      <c r="E582" t="s">
        <v>41</v>
      </c>
      <c r="F582" t="s">
        <v>17</v>
      </c>
      <c r="G582">
        <v>4</v>
      </c>
      <c r="H582">
        <v>416</v>
      </c>
      <c r="I582">
        <v>1664</v>
      </c>
      <c r="J582">
        <v>1331</v>
      </c>
      <c r="K582">
        <v>333</v>
      </c>
      <c r="L582" t="s">
        <v>33</v>
      </c>
      <c r="M582" t="s">
        <v>29</v>
      </c>
      <c r="N582" t="str">
        <f>IF(SalesTbl[[#This Row],[Profit]]&gt;180,"High Profit","Low Profit")</f>
        <v>High Profit</v>
      </c>
      <c r="O582" t="str">
        <f>TEXT(SalesTbl[[#This Row],[Date]],"mmm")</f>
        <v>Jun</v>
      </c>
    </row>
    <row r="583" spans="1:15" x14ac:dyDescent="0.3">
      <c r="A583">
        <v>1582</v>
      </c>
      <c r="B583" t="s">
        <v>105</v>
      </c>
      <c r="C583" t="s">
        <v>31</v>
      </c>
      <c r="D583" t="s">
        <v>26</v>
      </c>
      <c r="E583" t="s">
        <v>48</v>
      </c>
      <c r="F583" t="s">
        <v>23</v>
      </c>
      <c r="G583">
        <v>5</v>
      </c>
      <c r="H583">
        <v>296</v>
      </c>
      <c r="I583">
        <v>1480</v>
      </c>
      <c r="J583">
        <v>991</v>
      </c>
      <c r="K583">
        <v>489</v>
      </c>
      <c r="L583" t="s">
        <v>24</v>
      </c>
      <c r="M583" t="s">
        <v>29</v>
      </c>
      <c r="N583" t="str">
        <f>IF(SalesTbl[[#This Row],[Profit]]&gt;180,"High Profit","Low Profit")</f>
        <v>High Profit</v>
      </c>
      <c r="O583" t="str">
        <f>TEXT(SalesTbl[[#This Row],[Date]],"mmm")</f>
        <v>Jun</v>
      </c>
    </row>
    <row r="584" spans="1:15" x14ac:dyDescent="0.3">
      <c r="A584">
        <v>1583</v>
      </c>
      <c r="B584" t="s">
        <v>160</v>
      </c>
      <c r="C584" t="s">
        <v>31</v>
      </c>
      <c r="D584" t="s">
        <v>35</v>
      </c>
      <c r="E584" t="s">
        <v>54</v>
      </c>
      <c r="F584" t="s">
        <v>17</v>
      </c>
      <c r="G584">
        <v>4</v>
      </c>
      <c r="H584">
        <v>436</v>
      </c>
      <c r="I584">
        <v>1744</v>
      </c>
      <c r="J584">
        <v>1116</v>
      </c>
      <c r="K584">
        <v>628</v>
      </c>
      <c r="L584" t="s">
        <v>28</v>
      </c>
      <c r="M584" t="s">
        <v>19</v>
      </c>
      <c r="N584" t="str">
        <f>IF(SalesTbl[[#This Row],[Profit]]&gt;180,"High Profit","Low Profit")</f>
        <v>High Profit</v>
      </c>
      <c r="O584" t="str">
        <f>TEXT(SalesTbl[[#This Row],[Date]],"mmm")</f>
        <v>Jan</v>
      </c>
    </row>
    <row r="585" spans="1:15" x14ac:dyDescent="0.3">
      <c r="A585">
        <v>1584</v>
      </c>
      <c r="B585" t="s">
        <v>43</v>
      </c>
      <c r="C585" t="s">
        <v>40</v>
      </c>
      <c r="D585" t="s">
        <v>26</v>
      </c>
      <c r="E585" t="s">
        <v>22</v>
      </c>
      <c r="F585" t="s">
        <v>23</v>
      </c>
      <c r="G585">
        <v>8</v>
      </c>
      <c r="H585">
        <v>62</v>
      </c>
      <c r="I585">
        <v>496</v>
      </c>
      <c r="J585">
        <v>307</v>
      </c>
      <c r="K585">
        <v>189</v>
      </c>
      <c r="L585" t="s">
        <v>38</v>
      </c>
      <c r="M585" t="s">
        <v>29</v>
      </c>
      <c r="N585" t="str">
        <f>IF(SalesTbl[[#This Row],[Profit]]&gt;180,"High Profit","Low Profit")</f>
        <v>High Profit</v>
      </c>
      <c r="O585" t="str">
        <f>TEXT(SalesTbl[[#This Row],[Date]],"mmm")</f>
        <v>Apr</v>
      </c>
    </row>
    <row r="586" spans="1:15" x14ac:dyDescent="0.3">
      <c r="A586">
        <v>1585</v>
      </c>
      <c r="B586" t="s">
        <v>44</v>
      </c>
      <c r="C586" t="s">
        <v>31</v>
      </c>
      <c r="D586" t="s">
        <v>15</v>
      </c>
      <c r="E586" t="s">
        <v>41</v>
      </c>
      <c r="F586" t="s">
        <v>17</v>
      </c>
      <c r="G586">
        <v>7</v>
      </c>
      <c r="H586">
        <v>683</v>
      </c>
      <c r="I586">
        <v>4781</v>
      </c>
      <c r="J586">
        <v>3394</v>
      </c>
      <c r="K586">
        <v>1387</v>
      </c>
      <c r="L586" t="s">
        <v>24</v>
      </c>
      <c r="M586" t="s">
        <v>29</v>
      </c>
      <c r="N586" t="str">
        <f>IF(SalesTbl[[#This Row],[Profit]]&gt;180,"High Profit","Low Profit")</f>
        <v>High Profit</v>
      </c>
      <c r="O586" t="str">
        <f>TEXT(SalesTbl[[#This Row],[Date]],"mmm")</f>
        <v>Jan</v>
      </c>
    </row>
    <row r="587" spans="1:15" x14ac:dyDescent="0.3">
      <c r="A587">
        <v>1156</v>
      </c>
      <c r="B587" t="s">
        <v>142</v>
      </c>
      <c r="C587" t="s">
        <v>40</v>
      </c>
      <c r="D587" t="s">
        <v>15</v>
      </c>
      <c r="E587" t="s">
        <v>41</v>
      </c>
      <c r="F587" t="s">
        <v>17</v>
      </c>
      <c r="G587">
        <v>10</v>
      </c>
      <c r="H587">
        <v>127</v>
      </c>
      <c r="I587">
        <v>1270</v>
      </c>
      <c r="J587">
        <v>787</v>
      </c>
      <c r="K587">
        <v>483</v>
      </c>
      <c r="L587" t="s">
        <v>33</v>
      </c>
      <c r="M587" t="s">
        <v>19</v>
      </c>
      <c r="N587" t="str">
        <f>IF(SalesTbl[[#This Row],[Profit]]&gt;180,"High Profit","Low Profit")</f>
        <v>High Profit</v>
      </c>
      <c r="O587" t="str">
        <f>TEXT(SalesTbl[[#This Row],[Date]],"mmm")</f>
        <v>Mar</v>
      </c>
    </row>
    <row r="588" spans="1:15" x14ac:dyDescent="0.3">
      <c r="A588">
        <v>1587</v>
      </c>
      <c r="B588" t="s">
        <v>144</v>
      </c>
      <c r="C588" t="s">
        <v>21</v>
      </c>
      <c r="D588" t="s">
        <v>15</v>
      </c>
      <c r="E588" t="s">
        <v>16</v>
      </c>
      <c r="F588" t="s">
        <v>17</v>
      </c>
      <c r="G588">
        <v>6</v>
      </c>
      <c r="H588">
        <v>744</v>
      </c>
      <c r="I588">
        <v>4464</v>
      </c>
      <c r="J588">
        <v>3437</v>
      </c>
      <c r="K588">
        <v>1027</v>
      </c>
      <c r="L588" t="s">
        <v>18</v>
      </c>
      <c r="M588" t="s">
        <v>19</v>
      </c>
      <c r="N588" t="str">
        <f>IF(SalesTbl[[#This Row],[Profit]]&gt;180,"High Profit","Low Profit")</f>
        <v>High Profit</v>
      </c>
      <c r="O588" t="str">
        <f>TEXT(SalesTbl[[#This Row],[Date]],"mmm")</f>
        <v>Mar</v>
      </c>
    </row>
    <row r="589" spans="1:15" x14ac:dyDescent="0.3">
      <c r="A589">
        <v>1588</v>
      </c>
      <c r="B589" t="s">
        <v>55</v>
      </c>
      <c r="C589" t="s">
        <v>21</v>
      </c>
      <c r="D589" t="s">
        <v>15</v>
      </c>
      <c r="E589" t="s">
        <v>41</v>
      </c>
      <c r="F589" t="s">
        <v>17</v>
      </c>
      <c r="G589">
        <v>7</v>
      </c>
      <c r="H589">
        <v>504</v>
      </c>
      <c r="I589">
        <v>3528</v>
      </c>
      <c r="J589">
        <v>2575</v>
      </c>
      <c r="K589">
        <v>953</v>
      </c>
      <c r="L589" t="s">
        <v>24</v>
      </c>
      <c r="M589" t="s">
        <v>29</v>
      </c>
      <c r="N589" t="str">
        <f>IF(SalesTbl[[#This Row],[Profit]]&gt;180,"High Profit","Low Profit")</f>
        <v>High Profit</v>
      </c>
      <c r="O589" t="str">
        <f>TEXT(SalesTbl[[#This Row],[Date]],"mmm")</f>
        <v>Feb</v>
      </c>
    </row>
    <row r="590" spans="1:15" x14ac:dyDescent="0.3">
      <c r="A590">
        <v>1589</v>
      </c>
      <c r="B590" t="s">
        <v>195</v>
      </c>
      <c r="C590" t="s">
        <v>14</v>
      </c>
      <c r="D590" t="s">
        <v>26</v>
      </c>
      <c r="E590" t="s">
        <v>54</v>
      </c>
      <c r="F590" t="s">
        <v>17</v>
      </c>
      <c r="G590">
        <v>4</v>
      </c>
      <c r="H590">
        <v>199</v>
      </c>
      <c r="I590">
        <v>796</v>
      </c>
      <c r="J590">
        <v>517</v>
      </c>
      <c r="K590">
        <v>279</v>
      </c>
      <c r="L590" t="s">
        <v>18</v>
      </c>
      <c r="M590" t="s">
        <v>29</v>
      </c>
      <c r="N590" t="str">
        <f>IF(SalesTbl[[#This Row],[Profit]]&gt;180,"High Profit","Low Profit")</f>
        <v>High Profit</v>
      </c>
      <c r="O590" t="str">
        <f>TEXT(SalesTbl[[#This Row],[Date]],"mmm")</f>
        <v>Feb</v>
      </c>
    </row>
    <row r="591" spans="1:15" x14ac:dyDescent="0.3">
      <c r="A591">
        <v>1590</v>
      </c>
      <c r="B591" t="s">
        <v>153</v>
      </c>
      <c r="C591" t="s">
        <v>14</v>
      </c>
      <c r="D591" t="s">
        <v>32</v>
      </c>
      <c r="E591" t="s">
        <v>16</v>
      </c>
      <c r="F591" t="s">
        <v>17</v>
      </c>
      <c r="G591">
        <v>1</v>
      </c>
      <c r="H591">
        <v>472</v>
      </c>
      <c r="I591">
        <v>472</v>
      </c>
      <c r="J591">
        <v>344</v>
      </c>
      <c r="K591">
        <v>128</v>
      </c>
      <c r="L591" t="s">
        <v>18</v>
      </c>
      <c r="M591" t="s">
        <v>29</v>
      </c>
      <c r="N591" t="str">
        <f>IF(SalesTbl[[#This Row],[Profit]]&gt;180,"High Profit","Low Profit")</f>
        <v>Low Profit</v>
      </c>
      <c r="O591" t="str">
        <f>TEXT(SalesTbl[[#This Row],[Date]],"mmm")</f>
        <v>Mar</v>
      </c>
    </row>
    <row r="592" spans="1:15" x14ac:dyDescent="0.3">
      <c r="A592">
        <v>1591</v>
      </c>
      <c r="B592" t="s">
        <v>64</v>
      </c>
      <c r="C592" t="s">
        <v>40</v>
      </c>
      <c r="D592" t="s">
        <v>32</v>
      </c>
      <c r="E592" t="s">
        <v>22</v>
      </c>
      <c r="F592" t="s">
        <v>23</v>
      </c>
      <c r="G592">
        <v>9</v>
      </c>
      <c r="H592">
        <v>664</v>
      </c>
      <c r="I592">
        <v>5976</v>
      </c>
      <c r="J592">
        <v>4123</v>
      </c>
      <c r="K592">
        <v>1853</v>
      </c>
      <c r="L592" t="s">
        <v>18</v>
      </c>
      <c r="M592" t="s">
        <v>19</v>
      </c>
      <c r="N592" t="str">
        <f>IF(SalesTbl[[#This Row],[Profit]]&gt;180,"High Profit","Low Profit")</f>
        <v>High Profit</v>
      </c>
      <c r="O592" t="str">
        <f>TEXT(SalesTbl[[#This Row],[Date]],"mmm")</f>
        <v>Jan</v>
      </c>
    </row>
    <row r="593" spans="1:15" x14ac:dyDescent="0.3">
      <c r="A593">
        <v>1592</v>
      </c>
      <c r="B593" t="s">
        <v>25</v>
      </c>
      <c r="C593" t="s">
        <v>21</v>
      </c>
      <c r="D593" t="s">
        <v>26</v>
      </c>
      <c r="E593" t="s">
        <v>48</v>
      </c>
      <c r="F593" t="s">
        <v>23</v>
      </c>
      <c r="G593">
        <v>8</v>
      </c>
      <c r="H593">
        <v>484</v>
      </c>
      <c r="I593">
        <v>3872</v>
      </c>
      <c r="J593">
        <v>2439</v>
      </c>
      <c r="K593">
        <v>1433</v>
      </c>
      <c r="L593" t="s">
        <v>38</v>
      </c>
      <c r="M593" t="s">
        <v>19</v>
      </c>
      <c r="N593" t="str">
        <f>IF(SalesTbl[[#This Row],[Profit]]&gt;180,"High Profit","Low Profit")</f>
        <v>High Profit</v>
      </c>
      <c r="O593" t="str">
        <f>TEXT(SalesTbl[[#This Row],[Date]],"mmm")</f>
        <v>Feb</v>
      </c>
    </row>
    <row r="594" spans="1:15" x14ac:dyDescent="0.3">
      <c r="A594">
        <v>1593</v>
      </c>
      <c r="B594" t="s">
        <v>102</v>
      </c>
      <c r="C594" t="s">
        <v>21</v>
      </c>
      <c r="D594" t="s">
        <v>35</v>
      </c>
      <c r="E594" t="s">
        <v>16</v>
      </c>
      <c r="F594" t="s">
        <v>17</v>
      </c>
      <c r="G594">
        <v>8</v>
      </c>
      <c r="H594">
        <v>256</v>
      </c>
      <c r="I594">
        <v>2048</v>
      </c>
      <c r="J594">
        <v>1617</v>
      </c>
      <c r="K594">
        <v>431</v>
      </c>
      <c r="L594" t="s">
        <v>24</v>
      </c>
      <c r="M594" t="s">
        <v>29</v>
      </c>
      <c r="N594" t="str">
        <f>IF(SalesTbl[[#This Row],[Profit]]&gt;180,"High Profit","Low Profit")</f>
        <v>High Profit</v>
      </c>
      <c r="O594" t="str">
        <f>TEXT(SalesTbl[[#This Row],[Date]],"mmm")</f>
        <v>May</v>
      </c>
    </row>
    <row r="595" spans="1:15" x14ac:dyDescent="0.3">
      <c r="A595">
        <v>1594</v>
      </c>
      <c r="B595" t="s">
        <v>82</v>
      </c>
      <c r="C595" t="s">
        <v>31</v>
      </c>
      <c r="D595" t="s">
        <v>35</v>
      </c>
      <c r="E595" t="s">
        <v>54</v>
      </c>
      <c r="F595" t="s">
        <v>17</v>
      </c>
      <c r="G595">
        <v>6</v>
      </c>
      <c r="H595">
        <v>603</v>
      </c>
      <c r="I595">
        <v>3618</v>
      </c>
      <c r="J595">
        <v>2677</v>
      </c>
      <c r="K595">
        <v>941</v>
      </c>
      <c r="L595" t="s">
        <v>28</v>
      </c>
      <c r="M595" t="s">
        <v>29</v>
      </c>
      <c r="N595" t="str">
        <f>IF(SalesTbl[[#This Row],[Profit]]&gt;180,"High Profit","Low Profit")</f>
        <v>High Profit</v>
      </c>
      <c r="O595" t="str">
        <f>TEXT(SalesTbl[[#This Row],[Date]],"mmm")</f>
        <v>Jan</v>
      </c>
    </row>
    <row r="596" spans="1:15" x14ac:dyDescent="0.3">
      <c r="A596">
        <v>1595</v>
      </c>
      <c r="B596" t="s">
        <v>175</v>
      </c>
      <c r="C596" t="s">
        <v>21</v>
      </c>
      <c r="D596" t="s">
        <v>35</v>
      </c>
      <c r="E596" t="s">
        <v>22</v>
      </c>
      <c r="F596" t="s">
        <v>23</v>
      </c>
      <c r="G596">
        <v>2</v>
      </c>
      <c r="H596">
        <v>380</v>
      </c>
      <c r="I596">
        <v>760</v>
      </c>
      <c r="J596">
        <v>547</v>
      </c>
      <c r="K596">
        <v>213</v>
      </c>
      <c r="L596" t="s">
        <v>24</v>
      </c>
      <c r="M596" t="s">
        <v>29</v>
      </c>
      <c r="N596" t="str">
        <f>IF(SalesTbl[[#This Row],[Profit]]&gt;180,"High Profit","Low Profit")</f>
        <v>High Profit</v>
      </c>
      <c r="O596" t="str">
        <f>TEXT(SalesTbl[[#This Row],[Date]],"mmm")</f>
        <v>May</v>
      </c>
    </row>
    <row r="597" spans="1:15" x14ac:dyDescent="0.3">
      <c r="A597">
        <v>1596</v>
      </c>
      <c r="B597" t="s">
        <v>93</v>
      </c>
      <c r="C597" t="s">
        <v>31</v>
      </c>
      <c r="D597" t="s">
        <v>35</v>
      </c>
      <c r="E597" t="s">
        <v>54</v>
      </c>
      <c r="F597" t="s">
        <v>17</v>
      </c>
      <c r="G597">
        <v>4</v>
      </c>
      <c r="H597">
        <v>913</v>
      </c>
      <c r="I597">
        <v>3652</v>
      </c>
      <c r="J597">
        <v>2519</v>
      </c>
      <c r="K597">
        <v>1133</v>
      </c>
      <c r="L597" t="s">
        <v>18</v>
      </c>
      <c r="M597" t="s">
        <v>29</v>
      </c>
      <c r="N597" t="str">
        <f>IF(SalesTbl[[#This Row],[Profit]]&gt;180,"High Profit","Low Profit")</f>
        <v>High Profit</v>
      </c>
      <c r="O597" t="str">
        <f>TEXT(SalesTbl[[#This Row],[Date]],"mmm")</f>
        <v>Jun</v>
      </c>
    </row>
    <row r="598" spans="1:15" x14ac:dyDescent="0.3">
      <c r="A598">
        <v>1597</v>
      </c>
      <c r="B598" t="s">
        <v>63</v>
      </c>
      <c r="C598" t="s">
        <v>31</v>
      </c>
      <c r="D598" t="s">
        <v>15</v>
      </c>
      <c r="E598" t="s">
        <v>41</v>
      </c>
      <c r="F598" t="s">
        <v>17</v>
      </c>
      <c r="G598">
        <v>8</v>
      </c>
      <c r="H598">
        <v>156</v>
      </c>
      <c r="I598">
        <v>1248</v>
      </c>
      <c r="J598">
        <v>748</v>
      </c>
      <c r="K598">
        <v>500</v>
      </c>
      <c r="L598" t="s">
        <v>18</v>
      </c>
      <c r="M598" t="s">
        <v>29</v>
      </c>
      <c r="N598" t="str">
        <f>IF(SalesTbl[[#This Row],[Profit]]&gt;180,"High Profit","Low Profit")</f>
        <v>High Profit</v>
      </c>
      <c r="O598" t="str">
        <f>TEXT(SalesTbl[[#This Row],[Date]],"mmm")</f>
        <v>Jan</v>
      </c>
    </row>
    <row r="599" spans="1:15" x14ac:dyDescent="0.3">
      <c r="A599">
        <v>1598</v>
      </c>
      <c r="B599" t="s">
        <v>112</v>
      </c>
      <c r="C599" t="s">
        <v>31</v>
      </c>
      <c r="D599" t="s">
        <v>26</v>
      </c>
      <c r="E599" t="s">
        <v>22</v>
      </c>
      <c r="F599" t="s">
        <v>23</v>
      </c>
      <c r="G599">
        <v>9</v>
      </c>
      <c r="H599">
        <v>443</v>
      </c>
      <c r="I599">
        <v>3987</v>
      </c>
      <c r="J599">
        <v>2751</v>
      </c>
      <c r="K599">
        <v>1236</v>
      </c>
      <c r="L599" t="s">
        <v>18</v>
      </c>
      <c r="M599" t="s">
        <v>19</v>
      </c>
      <c r="N599" t="str">
        <f>IF(SalesTbl[[#This Row],[Profit]]&gt;180,"High Profit","Low Profit")</f>
        <v>High Profit</v>
      </c>
      <c r="O599" t="str">
        <f>TEXT(SalesTbl[[#This Row],[Date]],"mmm")</f>
        <v>Jun</v>
      </c>
    </row>
    <row r="600" spans="1:15" x14ac:dyDescent="0.3">
      <c r="A600">
        <v>1599</v>
      </c>
      <c r="B600" t="s">
        <v>51</v>
      </c>
      <c r="C600" t="s">
        <v>14</v>
      </c>
      <c r="D600" t="s">
        <v>32</v>
      </c>
      <c r="E600" t="s">
        <v>22</v>
      </c>
      <c r="F600" t="s">
        <v>23</v>
      </c>
      <c r="G600">
        <v>1</v>
      </c>
      <c r="H600">
        <v>792</v>
      </c>
      <c r="I600">
        <v>792</v>
      </c>
      <c r="J600">
        <v>554</v>
      </c>
      <c r="K600">
        <v>238</v>
      </c>
      <c r="L600" t="s">
        <v>18</v>
      </c>
      <c r="M600" t="s">
        <v>29</v>
      </c>
      <c r="N600" t="str">
        <f>IF(SalesTbl[[#This Row],[Profit]]&gt;180,"High Profit","Low Profit")</f>
        <v>High Profit</v>
      </c>
      <c r="O600" t="str">
        <f>TEXT(SalesTbl[[#This Row],[Date]],"mmm")</f>
        <v>May</v>
      </c>
    </row>
    <row r="601" spans="1:15" x14ac:dyDescent="0.3">
      <c r="A601">
        <v>1600</v>
      </c>
      <c r="B601" t="s">
        <v>132</v>
      </c>
      <c r="C601" t="s">
        <v>31</v>
      </c>
      <c r="D601" t="s">
        <v>35</v>
      </c>
      <c r="E601" t="s">
        <v>22</v>
      </c>
      <c r="F601" t="s">
        <v>23</v>
      </c>
      <c r="G601">
        <v>6</v>
      </c>
      <c r="H601">
        <v>260</v>
      </c>
      <c r="I601">
        <v>1560</v>
      </c>
      <c r="J601">
        <v>1107</v>
      </c>
      <c r="K601">
        <v>453</v>
      </c>
      <c r="L601" t="s">
        <v>28</v>
      </c>
      <c r="M601" t="s">
        <v>29</v>
      </c>
      <c r="N601" t="str">
        <f>IF(SalesTbl[[#This Row],[Profit]]&gt;180,"High Profit","Low Profit")</f>
        <v>High Profit</v>
      </c>
      <c r="O601" t="str">
        <f>TEXT(SalesTbl[[#This Row],[Date]],"mmm")</f>
        <v>Jan</v>
      </c>
    </row>
    <row r="602" spans="1:15" x14ac:dyDescent="0.3">
      <c r="A602">
        <v>1601</v>
      </c>
      <c r="B602" t="s">
        <v>197</v>
      </c>
      <c r="C602" t="s">
        <v>31</v>
      </c>
      <c r="D602" t="s">
        <v>15</v>
      </c>
      <c r="E602" t="s">
        <v>41</v>
      </c>
      <c r="F602" t="s">
        <v>17</v>
      </c>
      <c r="G602">
        <v>4</v>
      </c>
      <c r="H602">
        <v>638</v>
      </c>
      <c r="I602">
        <v>2552</v>
      </c>
      <c r="J602">
        <v>1633</v>
      </c>
      <c r="K602">
        <v>919</v>
      </c>
      <c r="L602" t="s">
        <v>18</v>
      </c>
      <c r="M602" t="s">
        <v>29</v>
      </c>
      <c r="N602" t="str">
        <f>IF(SalesTbl[[#This Row],[Profit]]&gt;180,"High Profit","Low Profit")</f>
        <v>High Profit</v>
      </c>
      <c r="O602" t="str">
        <f>TEXT(SalesTbl[[#This Row],[Date]],"mmm")</f>
        <v>Apr</v>
      </c>
    </row>
    <row r="603" spans="1:15" x14ac:dyDescent="0.3">
      <c r="A603">
        <v>1923</v>
      </c>
      <c r="B603" t="s">
        <v>106</v>
      </c>
      <c r="C603" t="s">
        <v>40</v>
      </c>
      <c r="D603" t="s">
        <v>15</v>
      </c>
      <c r="E603" t="s">
        <v>54</v>
      </c>
      <c r="F603" t="s">
        <v>17</v>
      </c>
      <c r="G603">
        <v>10</v>
      </c>
      <c r="H603">
        <v>121</v>
      </c>
      <c r="I603">
        <v>1210</v>
      </c>
      <c r="J603">
        <v>738</v>
      </c>
      <c r="K603">
        <v>472</v>
      </c>
      <c r="L603" t="s">
        <v>28</v>
      </c>
      <c r="M603" t="s">
        <v>19</v>
      </c>
      <c r="N603" t="str">
        <f>IF(SalesTbl[[#This Row],[Profit]]&gt;180,"High Profit","Low Profit")</f>
        <v>High Profit</v>
      </c>
      <c r="O603" t="str">
        <f>TEXT(SalesTbl[[#This Row],[Date]],"mmm")</f>
        <v>May</v>
      </c>
    </row>
    <row r="604" spans="1:15" x14ac:dyDescent="0.3">
      <c r="A604">
        <v>1603</v>
      </c>
      <c r="B604" t="s">
        <v>126</v>
      </c>
      <c r="C604" t="s">
        <v>40</v>
      </c>
      <c r="D604" t="s">
        <v>15</v>
      </c>
      <c r="E604" t="s">
        <v>48</v>
      </c>
      <c r="F604" t="s">
        <v>23</v>
      </c>
      <c r="G604">
        <v>9</v>
      </c>
      <c r="H604">
        <v>704</v>
      </c>
      <c r="I604">
        <v>6336</v>
      </c>
      <c r="J604">
        <v>4181</v>
      </c>
      <c r="K604">
        <v>2155</v>
      </c>
      <c r="L604" t="s">
        <v>18</v>
      </c>
      <c r="M604" t="s">
        <v>19</v>
      </c>
      <c r="N604" t="str">
        <f>IF(SalesTbl[[#This Row],[Profit]]&gt;180,"High Profit","Low Profit")</f>
        <v>High Profit</v>
      </c>
      <c r="O604" t="str">
        <f>TEXT(SalesTbl[[#This Row],[Date]],"mmm")</f>
        <v>May</v>
      </c>
    </row>
    <row r="605" spans="1:15" x14ac:dyDescent="0.3">
      <c r="A605">
        <v>1604</v>
      </c>
      <c r="B605" t="s">
        <v>154</v>
      </c>
      <c r="C605" t="s">
        <v>31</v>
      </c>
      <c r="D605" t="s">
        <v>26</v>
      </c>
      <c r="E605" t="s">
        <v>22</v>
      </c>
      <c r="F605" t="s">
        <v>23</v>
      </c>
      <c r="G605">
        <v>2</v>
      </c>
      <c r="H605">
        <v>236</v>
      </c>
      <c r="I605">
        <v>472</v>
      </c>
      <c r="J605">
        <v>354</v>
      </c>
      <c r="K605">
        <v>118</v>
      </c>
      <c r="L605" t="s">
        <v>33</v>
      </c>
      <c r="M605" t="s">
        <v>29</v>
      </c>
      <c r="N605" t="str">
        <f>IF(SalesTbl[[#This Row],[Profit]]&gt;180,"High Profit","Low Profit")</f>
        <v>Low Profit</v>
      </c>
      <c r="O605" t="str">
        <f>TEXT(SalesTbl[[#This Row],[Date]],"mmm")</f>
        <v>Mar</v>
      </c>
    </row>
    <row r="606" spans="1:15" x14ac:dyDescent="0.3">
      <c r="A606">
        <v>1605</v>
      </c>
      <c r="B606" t="s">
        <v>121</v>
      </c>
      <c r="C606" t="s">
        <v>31</v>
      </c>
      <c r="D606" t="s">
        <v>26</v>
      </c>
      <c r="E606" t="s">
        <v>16</v>
      </c>
      <c r="F606" t="s">
        <v>17</v>
      </c>
      <c r="G606">
        <v>4</v>
      </c>
      <c r="H606">
        <v>846</v>
      </c>
      <c r="I606">
        <v>3384</v>
      </c>
      <c r="J606">
        <v>2402</v>
      </c>
      <c r="K606">
        <v>982</v>
      </c>
      <c r="L606" t="s">
        <v>18</v>
      </c>
      <c r="M606" t="s">
        <v>29</v>
      </c>
      <c r="N606" t="str">
        <f>IF(SalesTbl[[#This Row],[Profit]]&gt;180,"High Profit","Low Profit")</f>
        <v>High Profit</v>
      </c>
      <c r="O606" t="str">
        <f>TEXT(SalesTbl[[#This Row],[Date]],"mmm")</f>
        <v>Feb</v>
      </c>
    </row>
    <row r="607" spans="1:15" x14ac:dyDescent="0.3">
      <c r="A607">
        <v>1606</v>
      </c>
      <c r="B607" t="s">
        <v>75</v>
      </c>
      <c r="C607" t="s">
        <v>21</v>
      </c>
      <c r="D607" t="s">
        <v>35</v>
      </c>
      <c r="E607" t="s">
        <v>27</v>
      </c>
      <c r="F607" t="s">
        <v>17</v>
      </c>
      <c r="G607">
        <v>3</v>
      </c>
      <c r="H607">
        <v>891</v>
      </c>
      <c r="I607">
        <v>2673</v>
      </c>
      <c r="J607">
        <v>2004</v>
      </c>
      <c r="K607">
        <v>669</v>
      </c>
      <c r="L607" t="s">
        <v>18</v>
      </c>
      <c r="M607" t="s">
        <v>29</v>
      </c>
      <c r="N607" t="str">
        <f>IF(SalesTbl[[#This Row],[Profit]]&gt;180,"High Profit","Low Profit")</f>
        <v>High Profit</v>
      </c>
      <c r="O607" t="str">
        <f>TEXT(SalesTbl[[#This Row],[Date]],"mmm")</f>
        <v>Jun</v>
      </c>
    </row>
    <row r="608" spans="1:15" x14ac:dyDescent="0.3">
      <c r="A608">
        <v>1607</v>
      </c>
      <c r="B608" t="s">
        <v>149</v>
      </c>
      <c r="C608" t="s">
        <v>40</v>
      </c>
      <c r="D608" t="s">
        <v>35</v>
      </c>
      <c r="E608" t="s">
        <v>22</v>
      </c>
      <c r="F608" t="s">
        <v>23</v>
      </c>
      <c r="G608">
        <v>9</v>
      </c>
      <c r="H608">
        <v>382</v>
      </c>
      <c r="I608">
        <v>3438</v>
      </c>
      <c r="J608">
        <v>2750</v>
      </c>
      <c r="K608">
        <v>688</v>
      </c>
      <c r="L608" t="s">
        <v>18</v>
      </c>
      <c r="M608" t="s">
        <v>29</v>
      </c>
      <c r="N608" t="str">
        <f>IF(SalesTbl[[#This Row],[Profit]]&gt;180,"High Profit","Low Profit")</f>
        <v>High Profit</v>
      </c>
      <c r="O608" t="str">
        <f>TEXT(SalesTbl[[#This Row],[Date]],"mmm")</f>
        <v>Mar</v>
      </c>
    </row>
    <row r="609" spans="1:15" x14ac:dyDescent="0.3">
      <c r="A609">
        <v>1579</v>
      </c>
      <c r="B609" t="s">
        <v>194</v>
      </c>
      <c r="C609" t="s">
        <v>40</v>
      </c>
      <c r="D609" t="s">
        <v>26</v>
      </c>
      <c r="E609" t="s">
        <v>41</v>
      </c>
      <c r="F609" t="s">
        <v>17</v>
      </c>
      <c r="G609">
        <v>4</v>
      </c>
      <c r="H609">
        <v>459</v>
      </c>
      <c r="I609">
        <v>1836</v>
      </c>
      <c r="J609">
        <v>1377</v>
      </c>
      <c r="K609">
        <v>459</v>
      </c>
      <c r="L609" t="s">
        <v>33</v>
      </c>
      <c r="M609" t="s">
        <v>19</v>
      </c>
      <c r="N609" t="str">
        <f>IF(SalesTbl[[#This Row],[Profit]]&gt;180,"High Profit","Low Profit")</f>
        <v>High Profit</v>
      </c>
      <c r="O609" t="str">
        <f>TEXT(SalesTbl[[#This Row],[Date]],"mmm")</f>
        <v>Apr</v>
      </c>
    </row>
    <row r="610" spans="1:15" x14ac:dyDescent="0.3">
      <c r="A610">
        <v>1609</v>
      </c>
      <c r="B610" t="s">
        <v>136</v>
      </c>
      <c r="C610" t="s">
        <v>14</v>
      </c>
      <c r="D610" t="s">
        <v>32</v>
      </c>
      <c r="E610" t="s">
        <v>41</v>
      </c>
      <c r="F610" t="s">
        <v>17</v>
      </c>
      <c r="G610">
        <v>2</v>
      </c>
      <c r="H610">
        <v>53</v>
      </c>
      <c r="I610">
        <v>106</v>
      </c>
      <c r="J610">
        <v>66</v>
      </c>
      <c r="K610">
        <v>40</v>
      </c>
      <c r="L610" t="s">
        <v>38</v>
      </c>
      <c r="M610" t="s">
        <v>29</v>
      </c>
      <c r="N610" t="str">
        <f>IF(SalesTbl[[#This Row],[Profit]]&gt;180,"High Profit","Low Profit")</f>
        <v>Low Profit</v>
      </c>
      <c r="O610" t="str">
        <f>TEXT(SalesTbl[[#This Row],[Date]],"mmm")</f>
        <v>Feb</v>
      </c>
    </row>
    <row r="611" spans="1:15" x14ac:dyDescent="0.3">
      <c r="A611">
        <v>1610</v>
      </c>
      <c r="B611" t="s">
        <v>114</v>
      </c>
      <c r="C611" t="s">
        <v>21</v>
      </c>
      <c r="D611" t="s">
        <v>35</v>
      </c>
      <c r="E611" t="s">
        <v>16</v>
      </c>
      <c r="F611" t="s">
        <v>17</v>
      </c>
      <c r="G611">
        <v>7</v>
      </c>
      <c r="H611">
        <v>93</v>
      </c>
      <c r="I611">
        <v>651</v>
      </c>
      <c r="J611">
        <v>390</v>
      </c>
      <c r="K611">
        <v>261</v>
      </c>
      <c r="L611" t="s">
        <v>28</v>
      </c>
      <c r="M611" t="s">
        <v>29</v>
      </c>
      <c r="N611" t="str">
        <f>IF(SalesTbl[[#This Row],[Profit]]&gt;180,"High Profit","Low Profit")</f>
        <v>High Profit</v>
      </c>
      <c r="O611" t="str">
        <f>TEXT(SalesTbl[[#This Row],[Date]],"mmm")</f>
        <v>Jan</v>
      </c>
    </row>
    <row r="612" spans="1:15" x14ac:dyDescent="0.3">
      <c r="A612">
        <v>1611</v>
      </c>
      <c r="B612" t="s">
        <v>97</v>
      </c>
      <c r="C612" t="s">
        <v>14</v>
      </c>
      <c r="D612" t="s">
        <v>26</v>
      </c>
      <c r="E612" t="s">
        <v>27</v>
      </c>
      <c r="F612" t="s">
        <v>17</v>
      </c>
      <c r="G612">
        <v>10</v>
      </c>
      <c r="H612">
        <v>453</v>
      </c>
      <c r="I612">
        <v>4530</v>
      </c>
      <c r="J612">
        <v>2718</v>
      </c>
      <c r="K612">
        <v>1812</v>
      </c>
      <c r="L612" t="s">
        <v>18</v>
      </c>
      <c r="M612" t="s">
        <v>19</v>
      </c>
      <c r="N612" t="str">
        <f>IF(SalesTbl[[#This Row],[Profit]]&gt;180,"High Profit","Low Profit")</f>
        <v>High Profit</v>
      </c>
      <c r="O612" t="str">
        <f>TEXT(SalesTbl[[#This Row],[Date]],"mmm")</f>
        <v>Apr</v>
      </c>
    </row>
    <row r="613" spans="1:15" x14ac:dyDescent="0.3">
      <c r="A613">
        <v>1612</v>
      </c>
      <c r="B613" t="s">
        <v>116</v>
      </c>
      <c r="C613" t="s">
        <v>14</v>
      </c>
      <c r="D613" t="s">
        <v>26</v>
      </c>
      <c r="E613" t="s">
        <v>54</v>
      </c>
      <c r="F613" t="s">
        <v>17</v>
      </c>
      <c r="G613">
        <v>3</v>
      </c>
      <c r="H613">
        <v>126</v>
      </c>
      <c r="I613">
        <v>378</v>
      </c>
      <c r="J613">
        <v>226</v>
      </c>
      <c r="K613">
        <v>152</v>
      </c>
      <c r="L613" t="s">
        <v>33</v>
      </c>
      <c r="M613" t="s">
        <v>19</v>
      </c>
      <c r="N613" t="str">
        <f>IF(SalesTbl[[#This Row],[Profit]]&gt;180,"High Profit","Low Profit")</f>
        <v>Low Profit</v>
      </c>
      <c r="O613" t="str">
        <f>TEXT(SalesTbl[[#This Row],[Date]],"mmm")</f>
        <v>Mar</v>
      </c>
    </row>
    <row r="614" spans="1:15" x14ac:dyDescent="0.3">
      <c r="A614">
        <v>1933</v>
      </c>
      <c r="B614" t="s">
        <v>183</v>
      </c>
      <c r="C614" t="s">
        <v>40</v>
      </c>
      <c r="D614" t="s">
        <v>15</v>
      </c>
      <c r="E614" t="s">
        <v>54</v>
      </c>
      <c r="F614" t="s">
        <v>17</v>
      </c>
      <c r="G614">
        <v>10</v>
      </c>
      <c r="H614">
        <v>118</v>
      </c>
      <c r="I614">
        <v>1180</v>
      </c>
      <c r="J614">
        <v>731</v>
      </c>
      <c r="K614">
        <v>449</v>
      </c>
      <c r="L614" t="s">
        <v>28</v>
      </c>
      <c r="M614" t="s">
        <v>19</v>
      </c>
      <c r="N614" t="str">
        <f>IF(SalesTbl[[#This Row],[Profit]]&gt;180,"High Profit","Low Profit")</f>
        <v>High Profit</v>
      </c>
      <c r="O614" t="str">
        <f>TEXT(SalesTbl[[#This Row],[Date]],"mmm")</f>
        <v>Apr</v>
      </c>
    </row>
    <row r="615" spans="1:15" x14ac:dyDescent="0.3">
      <c r="A615">
        <v>1614</v>
      </c>
      <c r="B615" t="s">
        <v>200</v>
      </c>
      <c r="C615" t="s">
        <v>14</v>
      </c>
      <c r="D615" t="s">
        <v>26</v>
      </c>
      <c r="E615" t="s">
        <v>27</v>
      </c>
      <c r="F615" t="s">
        <v>17</v>
      </c>
      <c r="G615">
        <v>2</v>
      </c>
      <c r="H615">
        <v>607</v>
      </c>
      <c r="I615">
        <v>1214</v>
      </c>
      <c r="J615">
        <v>837</v>
      </c>
      <c r="K615">
        <v>377</v>
      </c>
      <c r="L615" t="s">
        <v>33</v>
      </c>
      <c r="M615" t="s">
        <v>29</v>
      </c>
      <c r="N615" t="str">
        <f>IF(SalesTbl[[#This Row],[Profit]]&gt;180,"High Profit","Low Profit")</f>
        <v>High Profit</v>
      </c>
      <c r="O615" t="str">
        <f>TEXT(SalesTbl[[#This Row],[Date]],"mmm")</f>
        <v>Mar</v>
      </c>
    </row>
    <row r="616" spans="1:15" x14ac:dyDescent="0.3">
      <c r="A616">
        <v>1615</v>
      </c>
      <c r="B616" t="s">
        <v>118</v>
      </c>
      <c r="C616" t="s">
        <v>14</v>
      </c>
      <c r="D616" t="s">
        <v>15</v>
      </c>
      <c r="E616" t="s">
        <v>16</v>
      </c>
      <c r="F616" t="s">
        <v>17</v>
      </c>
      <c r="G616">
        <v>10</v>
      </c>
      <c r="H616">
        <v>747</v>
      </c>
      <c r="I616">
        <v>7470</v>
      </c>
      <c r="J616">
        <v>5976</v>
      </c>
      <c r="K616">
        <v>1494</v>
      </c>
      <c r="L616" t="s">
        <v>38</v>
      </c>
      <c r="M616" t="s">
        <v>19</v>
      </c>
      <c r="N616" t="str">
        <f>IF(SalesTbl[[#This Row],[Profit]]&gt;180,"High Profit","Low Profit")</f>
        <v>High Profit</v>
      </c>
      <c r="O616" t="str">
        <f>TEXT(SalesTbl[[#This Row],[Date]],"mmm")</f>
        <v>Jun</v>
      </c>
    </row>
    <row r="617" spans="1:15" x14ac:dyDescent="0.3">
      <c r="A617">
        <v>1616</v>
      </c>
      <c r="B617" t="s">
        <v>113</v>
      </c>
      <c r="C617" t="s">
        <v>14</v>
      </c>
      <c r="D617" t="s">
        <v>32</v>
      </c>
      <c r="E617" t="s">
        <v>16</v>
      </c>
      <c r="F617" t="s">
        <v>17</v>
      </c>
      <c r="G617">
        <v>6</v>
      </c>
      <c r="H617">
        <v>528</v>
      </c>
      <c r="I617">
        <v>3168</v>
      </c>
      <c r="J617">
        <v>1932</v>
      </c>
      <c r="K617">
        <v>1236</v>
      </c>
      <c r="L617" t="s">
        <v>24</v>
      </c>
      <c r="M617" t="s">
        <v>19</v>
      </c>
      <c r="N617" t="str">
        <f>IF(SalesTbl[[#This Row],[Profit]]&gt;180,"High Profit","Low Profit")</f>
        <v>High Profit</v>
      </c>
      <c r="O617" t="str">
        <f>TEXT(SalesTbl[[#This Row],[Date]],"mmm")</f>
        <v>May</v>
      </c>
    </row>
    <row r="618" spans="1:15" x14ac:dyDescent="0.3">
      <c r="A618">
        <v>1394</v>
      </c>
      <c r="B618" t="s">
        <v>170</v>
      </c>
      <c r="C618" t="s">
        <v>40</v>
      </c>
      <c r="D618" t="s">
        <v>15</v>
      </c>
      <c r="E618" t="s">
        <v>27</v>
      </c>
      <c r="F618" t="s">
        <v>17</v>
      </c>
      <c r="G618">
        <v>3</v>
      </c>
      <c r="H618">
        <v>566</v>
      </c>
      <c r="I618">
        <v>1698</v>
      </c>
      <c r="J618">
        <v>1256</v>
      </c>
      <c r="K618">
        <v>442</v>
      </c>
      <c r="L618" t="s">
        <v>33</v>
      </c>
      <c r="M618" t="s">
        <v>29</v>
      </c>
      <c r="N618" t="str">
        <f>IF(SalesTbl[[#This Row],[Profit]]&gt;180,"High Profit","Low Profit")</f>
        <v>High Profit</v>
      </c>
      <c r="O618" t="str">
        <f>TEXT(SalesTbl[[#This Row],[Date]],"mmm")</f>
        <v>Jan</v>
      </c>
    </row>
    <row r="619" spans="1:15" x14ac:dyDescent="0.3">
      <c r="A619">
        <v>1618</v>
      </c>
      <c r="B619" t="s">
        <v>211</v>
      </c>
      <c r="C619" t="s">
        <v>40</v>
      </c>
      <c r="D619" t="s">
        <v>26</v>
      </c>
      <c r="E619" t="s">
        <v>48</v>
      </c>
      <c r="F619" t="s">
        <v>23</v>
      </c>
      <c r="G619">
        <v>3</v>
      </c>
      <c r="H619">
        <v>950</v>
      </c>
      <c r="I619">
        <v>2850</v>
      </c>
      <c r="J619">
        <v>1909</v>
      </c>
      <c r="K619">
        <v>941</v>
      </c>
      <c r="L619" t="s">
        <v>18</v>
      </c>
      <c r="M619" t="s">
        <v>29</v>
      </c>
      <c r="N619" t="str">
        <f>IF(SalesTbl[[#This Row],[Profit]]&gt;180,"High Profit","Low Profit")</f>
        <v>High Profit</v>
      </c>
      <c r="O619" t="str">
        <f>TEXT(SalesTbl[[#This Row],[Date]],"mmm")</f>
        <v>Mar</v>
      </c>
    </row>
    <row r="620" spans="1:15" x14ac:dyDescent="0.3">
      <c r="A620">
        <v>1067</v>
      </c>
      <c r="B620" t="s">
        <v>93</v>
      </c>
      <c r="C620" t="s">
        <v>40</v>
      </c>
      <c r="D620" t="s">
        <v>35</v>
      </c>
      <c r="E620" t="s">
        <v>16</v>
      </c>
      <c r="F620" t="s">
        <v>17</v>
      </c>
      <c r="G620">
        <v>8</v>
      </c>
      <c r="H620">
        <v>184</v>
      </c>
      <c r="I620">
        <v>1472</v>
      </c>
      <c r="J620">
        <v>1045</v>
      </c>
      <c r="K620">
        <v>427</v>
      </c>
      <c r="L620" t="s">
        <v>33</v>
      </c>
      <c r="M620" t="s">
        <v>19</v>
      </c>
      <c r="N620" t="str">
        <f>IF(SalesTbl[[#This Row],[Profit]]&gt;180,"High Profit","Low Profit")</f>
        <v>High Profit</v>
      </c>
      <c r="O620" t="str">
        <f>TEXT(SalesTbl[[#This Row],[Date]],"mmm")</f>
        <v>Jun</v>
      </c>
    </row>
    <row r="621" spans="1:15" x14ac:dyDescent="0.3">
      <c r="A621">
        <v>1620</v>
      </c>
      <c r="B621" t="s">
        <v>92</v>
      </c>
      <c r="C621" t="s">
        <v>14</v>
      </c>
      <c r="D621" t="s">
        <v>35</v>
      </c>
      <c r="E621" t="s">
        <v>48</v>
      </c>
      <c r="F621" t="s">
        <v>23</v>
      </c>
      <c r="G621">
        <v>8</v>
      </c>
      <c r="H621">
        <v>299</v>
      </c>
      <c r="I621">
        <v>2392</v>
      </c>
      <c r="J621">
        <v>1506</v>
      </c>
      <c r="K621">
        <v>886</v>
      </c>
      <c r="L621" t="s">
        <v>18</v>
      </c>
      <c r="M621" t="s">
        <v>19</v>
      </c>
      <c r="N621" t="str">
        <f>IF(SalesTbl[[#This Row],[Profit]]&gt;180,"High Profit","Low Profit")</f>
        <v>High Profit</v>
      </c>
      <c r="O621" t="str">
        <f>TEXT(SalesTbl[[#This Row],[Date]],"mmm")</f>
        <v>Feb</v>
      </c>
    </row>
    <row r="622" spans="1:15" x14ac:dyDescent="0.3">
      <c r="A622">
        <v>1621</v>
      </c>
      <c r="B622" t="s">
        <v>102</v>
      </c>
      <c r="C622" t="s">
        <v>40</v>
      </c>
      <c r="D622" t="s">
        <v>32</v>
      </c>
      <c r="E622" t="s">
        <v>22</v>
      </c>
      <c r="F622" t="s">
        <v>23</v>
      </c>
      <c r="G622">
        <v>7</v>
      </c>
      <c r="H622">
        <v>796</v>
      </c>
      <c r="I622">
        <v>5572</v>
      </c>
      <c r="J622">
        <v>4290</v>
      </c>
      <c r="K622">
        <v>1282</v>
      </c>
      <c r="L622" t="s">
        <v>24</v>
      </c>
      <c r="M622" t="s">
        <v>29</v>
      </c>
      <c r="N622" t="str">
        <f>IF(SalesTbl[[#This Row],[Profit]]&gt;180,"High Profit","Low Profit")</f>
        <v>High Profit</v>
      </c>
      <c r="O622" t="str">
        <f>TEXT(SalesTbl[[#This Row],[Date]],"mmm")</f>
        <v>May</v>
      </c>
    </row>
    <row r="623" spans="1:15" x14ac:dyDescent="0.3">
      <c r="A623">
        <v>1622</v>
      </c>
      <c r="B623" t="s">
        <v>30</v>
      </c>
      <c r="C623" t="s">
        <v>31</v>
      </c>
      <c r="D623" t="s">
        <v>35</v>
      </c>
      <c r="E623" t="s">
        <v>48</v>
      </c>
      <c r="F623" t="s">
        <v>23</v>
      </c>
      <c r="G623">
        <v>3</v>
      </c>
      <c r="H623">
        <v>400</v>
      </c>
      <c r="I623">
        <v>1200</v>
      </c>
      <c r="J623">
        <v>948</v>
      </c>
      <c r="K623">
        <v>252</v>
      </c>
      <c r="L623" t="s">
        <v>33</v>
      </c>
      <c r="M623" t="s">
        <v>19</v>
      </c>
      <c r="N623" t="str">
        <f>IF(SalesTbl[[#This Row],[Profit]]&gt;180,"High Profit","Low Profit")</f>
        <v>High Profit</v>
      </c>
      <c r="O623" t="str">
        <f>TEXT(SalesTbl[[#This Row],[Date]],"mmm")</f>
        <v>Feb</v>
      </c>
    </row>
    <row r="624" spans="1:15" x14ac:dyDescent="0.3">
      <c r="A624">
        <v>1623</v>
      </c>
      <c r="B624" t="s">
        <v>212</v>
      </c>
      <c r="C624" t="s">
        <v>14</v>
      </c>
      <c r="D624" t="s">
        <v>26</v>
      </c>
      <c r="E624" t="s">
        <v>27</v>
      </c>
      <c r="F624" t="s">
        <v>17</v>
      </c>
      <c r="G624">
        <v>5</v>
      </c>
      <c r="H624">
        <v>91</v>
      </c>
      <c r="I624">
        <v>455</v>
      </c>
      <c r="J624">
        <v>327</v>
      </c>
      <c r="K624">
        <v>128</v>
      </c>
      <c r="L624" t="s">
        <v>24</v>
      </c>
      <c r="M624" t="s">
        <v>19</v>
      </c>
      <c r="N624" t="str">
        <f>IF(SalesTbl[[#This Row],[Profit]]&gt;180,"High Profit","Low Profit")</f>
        <v>Low Profit</v>
      </c>
      <c r="O624" t="str">
        <f>TEXT(SalesTbl[[#This Row],[Date]],"mmm")</f>
        <v>Mar</v>
      </c>
    </row>
    <row r="625" spans="1:15" x14ac:dyDescent="0.3">
      <c r="A625">
        <v>1559</v>
      </c>
      <c r="B625" t="s">
        <v>125</v>
      </c>
      <c r="C625" t="s">
        <v>40</v>
      </c>
      <c r="D625" t="s">
        <v>26</v>
      </c>
      <c r="E625" t="s">
        <v>41</v>
      </c>
      <c r="F625" t="s">
        <v>17</v>
      </c>
      <c r="G625">
        <v>3</v>
      </c>
      <c r="H625">
        <v>526</v>
      </c>
      <c r="I625">
        <v>1578</v>
      </c>
      <c r="J625">
        <v>1151</v>
      </c>
      <c r="K625">
        <v>427</v>
      </c>
      <c r="L625" t="s">
        <v>38</v>
      </c>
      <c r="M625" t="s">
        <v>29</v>
      </c>
      <c r="N625" t="str">
        <f>IF(SalesTbl[[#This Row],[Profit]]&gt;180,"High Profit","Low Profit")</f>
        <v>High Profit</v>
      </c>
      <c r="O625" t="str">
        <f>TEXT(SalesTbl[[#This Row],[Date]],"mmm")</f>
        <v>Jun</v>
      </c>
    </row>
    <row r="626" spans="1:15" x14ac:dyDescent="0.3">
      <c r="A626">
        <v>1625</v>
      </c>
      <c r="B626" t="s">
        <v>45</v>
      </c>
      <c r="C626" t="s">
        <v>40</v>
      </c>
      <c r="D626" t="s">
        <v>15</v>
      </c>
      <c r="E626" t="s">
        <v>22</v>
      </c>
      <c r="F626" t="s">
        <v>23</v>
      </c>
      <c r="G626">
        <v>6</v>
      </c>
      <c r="H626">
        <v>164</v>
      </c>
      <c r="I626">
        <v>984</v>
      </c>
      <c r="J626">
        <v>659</v>
      </c>
      <c r="K626">
        <v>325</v>
      </c>
      <c r="L626" t="s">
        <v>28</v>
      </c>
      <c r="M626" t="s">
        <v>29</v>
      </c>
      <c r="N626" t="str">
        <f>IF(SalesTbl[[#This Row],[Profit]]&gt;180,"High Profit","Low Profit")</f>
        <v>High Profit</v>
      </c>
      <c r="O626" t="str">
        <f>TEXT(SalesTbl[[#This Row],[Date]],"mmm")</f>
        <v>May</v>
      </c>
    </row>
    <row r="627" spans="1:15" x14ac:dyDescent="0.3">
      <c r="A627">
        <v>1626</v>
      </c>
      <c r="B627" t="s">
        <v>123</v>
      </c>
      <c r="C627" t="s">
        <v>14</v>
      </c>
      <c r="D627" t="s">
        <v>32</v>
      </c>
      <c r="E627" t="s">
        <v>27</v>
      </c>
      <c r="F627" t="s">
        <v>17</v>
      </c>
      <c r="G627">
        <v>4</v>
      </c>
      <c r="H627">
        <v>207</v>
      </c>
      <c r="I627">
        <v>828</v>
      </c>
      <c r="J627">
        <v>662</v>
      </c>
      <c r="K627">
        <v>166</v>
      </c>
      <c r="L627" t="s">
        <v>33</v>
      </c>
      <c r="M627" t="s">
        <v>29</v>
      </c>
      <c r="N627" t="str">
        <f>IF(SalesTbl[[#This Row],[Profit]]&gt;180,"High Profit","Low Profit")</f>
        <v>Low Profit</v>
      </c>
      <c r="O627" t="str">
        <f>TEXT(SalesTbl[[#This Row],[Date]],"mmm")</f>
        <v>Jan</v>
      </c>
    </row>
    <row r="628" spans="1:15" x14ac:dyDescent="0.3">
      <c r="A628">
        <v>1627</v>
      </c>
      <c r="B628" t="s">
        <v>130</v>
      </c>
      <c r="C628" t="s">
        <v>31</v>
      </c>
      <c r="D628" t="s">
        <v>15</v>
      </c>
      <c r="E628" t="s">
        <v>48</v>
      </c>
      <c r="F628" t="s">
        <v>23</v>
      </c>
      <c r="G628">
        <v>7</v>
      </c>
      <c r="H628">
        <v>319</v>
      </c>
      <c r="I628">
        <v>2233</v>
      </c>
      <c r="J628">
        <v>1451</v>
      </c>
      <c r="K628">
        <v>782</v>
      </c>
      <c r="L628" t="s">
        <v>33</v>
      </c>
      <c r="M628" t="s">
        <v>19</v>
      </c>
      <c r="N628" t="str">
        <f>IF(SalesTbl[[#This Row],[Profit]]&gt;180,"High Profit","Low Profit")</f>
        <v>High Profit</v>
      </c>
      <c r="O628" t="str">
        <f>TEXT(SalesTbl[[#This Row],[Date]],"mmm")</f>
        <v>Mar</v>
      </c>
    </row>
    <row r="629" spans="1:15" x14ac:dyDescent="0.3">
      <c r="A629">
        <v>1628</v>
      </c>
      <c r="B629" t="s">
        <v>119</v>
      </c>
      <c r="C629" t="s">
        <v>21</v>
      </c>
      <c r="D629" t="s">
        <v>32</v>
      </c>
      <c r="E629" t="s">
        <v>16</v>
      </c>
      <c r="F629" t="s">
        <v>17</v>
      </c>
      <c r="G629">
        <v>3</v>
      </c>
      <c r="H629">
        <v>887</v>
      </c>
      <c r="I629">
        <v>2661</v>
      </c>
      <c r="J629">
        <v>1889</v>
      </c>
      <c r="K629">
        <v>772</v>
      </c>
      <c r="L629" t="s">
        <v>18</v>
      </c>
      <c r="M629" t="s">
        <v>19</v>
      </c>
      <c r="N629" t="str">
        <f>IF(SalesTbl[[#This Row],[Profit]]&gt;180,"High Profit","Low Profit")</f>
        <v>High Profit</v>
      </c>
      <c r="O629" t="str">
        <f>TEXT(SalesTbl[[#This Row],[Date]],"mmm")</f>
        <v>Mar</v>
      </c>
    </row>
    <row r="630" spans="1:15" x14ac:dyDescent="0.3">
      <c r="A630">
        <v>1629</v>
      </c>
      <c r="B630" t="s">
        <v>138</v>
      </c>
      <c r="C630" t="s">
        <v>31</v>
      </c>
      <c r="D630" t="s">
        <v>32</v>
      </c>
      <c r="E630" t="s">
        <v>41</v>
      </c>
      <c r="F630" t="s">
        <v>17</v>
      </c>
      <c r="G630">
        <v>3</v>
      </c>
      <c r="H630">
        <v>346</v>
      </c>
      <c r="I630">
        <v>1038</v>
      </c>
      <c r="J630">
        <v>633</v>
      </c>
      <c r="K630">
        <v>405</v>
      </c>
      <c r="L630" t="s">
        <v>28</v>
      </c>
      <c r="M630" t="s">
        <v>29</v>
      </c>
      <c r="N630" t="str">
        <f>IF(SalesTbl[[#This Row],[Profit]]&gt;180,"High Profit","Low Profit")</f>
        <v>High Profit</v>
      </c>
      <c r="O630" t="str">
        <f>TEXT(SalesTbl[[#This Row],[Date]],"mmm")</f>
        <v>May</v>
      </c>
    </row>
    <row r="631" spans="1:15" x14ac:dyDescent="0.3">
      <c r="A631">
        <v>1630</v>
      </c>
      <c r="B631" t="s">
        <v>176</v>
      </c>
      <c r="C631" t="s">
        <v>21</v>
      </c>
      <c r="D631" t="s">
        <v>15</v>
      </c>
      <c r="E631" t="s">
        <v>22</v>
      </c>
      <c r="F631" t="s">
        <v>23</v>
      </c>
      <c r="G631">
        <v>5</v>
      </c>
      <c r="H631">
        <v>402</v>
      </c>
      <c r="I631">
        <v>2010</v>
      </c>
      <c r="J631">
        <v>1547</v>
      </c>
      <c r="K631">
        <v>463</v>
      </c>
      <c r="L631" t="s">
        <v>38</v>
      </c>
      <c r="M631" t="s">
        <v>29</v>
      </c>
      <c r="N631" t="str">
        <f>IF(SalesTbl[[#This Row],[Profit]]&gt;180,"High Profit","Low Profit")</f>
        <v>High Profit</v>
      </c>
      <c r="O631" t="str">
        <f>TEXT(SalesTbl[[#This Row],[Date]],"mmm")</f>
        <v>Jan</v>
      </c>
    </row>
    <row r="632" spans="1:15" x14ac:dyDescent="0.3">
      <c r="A632">
        <v>1631</v>
      </c>
      <c r="B632" t="s">
        <v>185</v>
      </c>
      <c r="C632" t="s">
        <v>40</v>
      </c>
      <c r="D632" t="s">
        <v>32</v>
      </c>
      <c r="E632" t="s">
        <v>48</v>
      </c>
      <c r="F632" t="s">
        <v>23</v>
      </c>
      <c r="G632">
        <v>8</v>
      </c>
      <c r="H632">
        <v>454</v>
      </c>
      <c r="I632">
        <v>3632</v>
      </c>
      <c r="J632">
        <v>2832</v>
      </c>
      <c r="K632">
        <v>800</v>
      </c>
      <c r="L632" t="s">
        <v>33</v>
      </c>
      <c r="M632" t="s">
        <v>29</v>
      </c>
      <c r="N632" t="str">
        <f>IF(SalesTbl[[#This Row],[Profit]]&gt;180,"High Profit","Low Profit")</f>
        <v>High Profit</v>
      </c>
      <c r="O632" t="str">
        <f>TEXT(SalesTbl[[#This Row],[Date]],"mmm")</f>
        <v>Jun</v>
      </c>
    </row>
    <row r="633" spans="1:15" x14ac:dyDescent="0.3">
      <c r="A633">
        <v>1632</v>
      </c>
      <c r="B633" t="s">
        <v>94</v>
      </c>
      <c r="C633" t="s">
        <v>31</v>
      </c>
      <c r="D633" t="s">
        <v>32</v>
      </c>
      <c r="E633" t="s">
        <v>27</v>
      </c>
      <c r="F633" t="s">
        <v>17</v>
      </c>
      <c r="G633">
        <v>7</v>
      </c>
      <c r="H633">
        <v>139</v>
      </c>
      <c r="I633">
        <v>973</v>
      </c>
      <c r="J633">
        <v>739</v>
      </c>
      <c r="K633">
        <v>234</v>
      </c>
      <c r="L633" t="s">
        <v>24</v>
      </c>
      <c r="M633" t="s">
        <v>29</v>
      </c>
      <c r="N633" t="str">
        <f>IF(SalesTbl[[#This Row],[Profit]]&gt;180,"High Profit","Low Profit")</f>
        <v>High Profit</v>
      </c>
      <c r="O633" t="str">
        <f>TEXT(SalesTbl[[#This Row],[Date]],"mmm")</f>
        <v>Mar</v>
      </c>
    </row>
    <row r="634" spans="1:15" x14ac:dyDescent="0.3">
      <c r="A634">
        <v>1633</v>
      </c>
      <c r="B634" t="s">
        <v>175</v>
      </c>
      <c r="C634" t="s">
        <v>14</v>
      </c>
      <c r="D634" t="s">
        <v>26</v>
      </c>
      <c r="E634" t="s">
        <v>54</v>
      </c>
      <c r="F634" t="s">
        <v>17</v>
      </c>
      <c r="G634">
        <v>4</v>
      </c>
      <c r="H634">
        <v>236</v>
      </c>
      <c r="I634">
        <v>944</v>
      </c>
      <c r="J634">
        <v>641</v>
      </c>
      <c r="K634">
        <v>303</v>
      </c>
      <c r="L634" t="s">
        <v>28</v>
      </c>
      <c r="M634" t="s">
        <v>19</v>
      </c>
      <c r="N634" t="str">
        <f>IF(SalesTbl[[#This Row],[Profit]]&gt;180,"High Profit","Low Profit")</f>
        <v>High Profit</v>
      </c>
      <c r="O634" t="str">
        <f>TEXT(SalesTbl[[#This Row],[Date]],"mmm")</f>
        <v>May</v>
      </c>
    </row>
    <row r="635" spans="1:15" x14ac:dyDescent="0.3">
      <c r="A635">
        <v>1634</v>
      </c>
      <c r="B635" t="s">
        <v>211</v>
      </c>
      <c r="C635" t="s">
        <v>14</v>
      </c>
      <c r="D635" t="s">
        <v>32</v>
      </c>
      <c r="E635" t="s">
        <v>48</v>
      </c>
      <c r="F635" t="s">
        <v>23</v>
      </c>
      <c r="G635">
        <v>6</v>
      </c>
      <c r="H635">
        <v>495</v>
      </c>
      <c r="I635">
        <v>2970</v>
      </c>
      <c r="J635">
        <v>2376</v>
      </c>
      <c r="K635">
        <v>594</v>
      </c>
      <c r="L635" t="s">
        <v>33</v>
      </c>
      <c r="M635" t="s">
        <v>19</v>
      </c>
      <c r="N635" t="str">
        <f>IF(SalesTbl[[#This Row],[Profit]]&gt;180,"High Profit","Low Profit")</f>
        <v>High Profit</v>
      </c>
      <c r="O635" t="str">
        <f>TEXT(SalesTbl[[#This Row],[Date]],"mmm")</f>
        <v>Mar</v>
      </c>
    </row>
    <row r="636" spans="1:15" x14ac:dyDescent="0.3">
      <c r="A636">
        <v>1635</v>
      </c>
      <c r="B636" t="s">
        <v>53</v>
      </c>
      <c r="C636" t="s">
        <v>21</v>
      </c>
      <c r="D636" t="s">
        <v>32</v>
      </c>
      <c r="E636" t="s">
        <v>16</v>
      </c>
      <c r="F636" t="s">
        <v>17</v>
      </c>
      <c r="G636">
        <v>6</v>
      </c>
      <c r="H636">
        <v>628</v>
      </c>
      <c r="I636">
        <v>3768</v>
      </c>
      <c r="J636">
        <v>2562</v>
      </c>
      <c r="K636">
        <v>1206</v>
      </c>
      <c r="L636" t="s">
        <v>28</v>
      </c>
      <c r="M636" t="s">
        <v>19</v>
      </c>
      <c r="N636" t="str">
        <f>IF(SalesTbl[[#This Row],[Profit]]&gt;180,"High Profit","Low Profit")</f>
        <v>High Profit</v>
      </c>
      <c r="O636" t="str">
        <f>TEXT(SalesTbl[[#This Row],[Date]],"mmm")</f>
        <v>Apr</v>
      </c>
    </row>
    <row r="637" spans="1:15" x14ac:dyDescent="0.3">
      <c r="A637">
        <v>1636</v>
      </c>
      <c r="B637" t="s">
        <v>72</v>
      </c>
      <c r="C637" t="s">
        <v>14</v>
      </c>
      <c r="D637" t="s">
        <v>32</v>
      </c>
      <c r="E637" t="s">
        <v>41</v>
      </c>
      <c r="F637" t="s">
        <v>17</v>
      </c>
      <c r="G637">
        <v>3</v>
      </c>
      <c r="H637">
        <v>424</v>
      </c>
      <c r="I637">
        <v>1272</v>
      </c>
      <c r="J637">
        <v>1004</v>
      </c>
      <c r="K637">
        <v>268</v>
      </c>
      <c r="L637" t="s">
        <v>28</v>
      </c>
      <c r="M637" t="s">
        <v>29</v>
      </c>
      <c r="N637" t="str">
        <f>IF(SalesTbl[[#This Row],[Profit]]&gt;180,"High Profit","Low Profit")</f>
        <v>High Profit</v>
      </c>
      <c r="O637" t="str">
        <f>TEXT(SalesTbl[[#This Row],[Date]],"mmm")</f>
        <v>Mar</v>
      </c>
    </row>
    <row r="638" spans="1:15" x14ac:dyDescent="0.3">
      <c r="A638">
        <v>1176</v>
      </c>
      <c r="B638" t="s">
        <v>147</v>
      </c>
      <c r="C638" t="s">
        <v>40</v>
      </c>
      <c r="D638" t="s">
        <v>32</v>
      </c>
      <c r="E638" t="s">
        <v>16</v>
      </c>
      <c r="F638" t="s">
        <v>17</v>
      </c>
      <c r="G638">
        <v>7</v>
      </c>
      <c r="H638">
        <v>224</v>
      </c>
      <c r="I638">
        <v>1568</v>
      </c>
      <c r="J638">
        <v>1144</v>
      </c>
      <c r="K638">
        <v>424</v>
      </c>
      <c r="L638" t="s">
        <v>18</v>
      </c>
      <c r="M638" t="s">
        <v>29</v>
      </c>
      <c r="N638" t="str">
        <f>IF(SalesTbl[[#This Row],[Profit]]&gt;180,"High Profit","Low Profit")</f>
        <v>High Profit</v>
      </c>
      <c r="O638" t="str">
        <f>TEXT(SalesTbl[[#This Row],[Date]],"mmm")</f>
        <v>Jan</v>
      </c>
    </row>
    <row r="639" spans="1:15" x14ac:dyDescent="0.3">
      <c r="A639">
        <v>1638</v>
      </c>
      <c r="B639" t="s">
        <v>67</v>
      </c>
      <c r="C639" t="s">
        <v>31</v>
      </c>
      <c r="D639" t="s">
        <v>35</v>
      </c>
      <c r="E639" t="s">
        <v>41</v>
      </c>
      <c r="F639" t="s">
        <v>17</v>
      </c>
      <c r="G639">
        <v>9</v>
      </c>
      <c r="H639">
        <v>488</v>
      </c>
      <c r="I639">
        <v>4392</v>
      </c>
      <c r="J639">
        <v>3337</v>
      </c>
      <c r="K639">
        <v>1055</v>
      </c>
      <c r="L639" t="s">
        <v>24</v>
      </c>
      <c r="M639" t="s">
        <v>29</v>
      </c>
      <c r="N639" t="str">
        <f>IF(SalesTbl[[#This Row],[Profit]]&gt;180,"High Profit","Low Profit")</f>
        <v>High Profit</v>
      </c>
      <c r="O639" t="str">
        <f>TEXT(SalesTbl[[#This Row],[Date]],"mmm")</f>
        <v>Mar</v>
      </c>
    </row>
    <row r="640" spans="1:15" x14ac:dyDescent="0.3">
      <c r="A640">
        <v>1639</v>
      </c>
      <c r="B640" t="s">
        <v>169</v>
      </c>
      <c r="C640" t="s">
        <v>31</v>
      </c>
      <c r="D640" t="s">
        <v>35</v>
      </c>
      <c r="E640" t="s">
        <v>16</v>
      </c>
      <c r="F640" t="s">
        <v>17</v>
      </c>
      <c r="G640">
        <v>3</v>
      </c>
      <c r="H640">
        <v>646</v>
      </c>
      <c r="I640">
        <v>1938</v>
      </c>
      <c r="J640">
        <v>1162</v>
      </c>
      <c r="K640">
        <v>776</v>
      </c>
      <c r="L640" t="s">
        <v>38</v>
      </c>
      <c r="M640" t="s">
        <v>29</v>
      </c>
      <c r="N640" t="str">
        <f>IF(SalesTbl[[#This Row],[Profit]]&gt;180,"High Profit","Low Profit")</f>
        <v>High Profit</v>
      </c>
      <c r="O640" t="str">
        <f>TEXT(SalesTbl[[#This Row],[Date]],"mmm")</f>
        <v>May</v>
      </c>
    </row>
    <row r="641" spans="1:15" x14ac:dyDescent="0.3">
      <c r="A641">
        <v>1640</v>
      </c>
      <c r="B641" t="s">
        <v>114</v>
      </c>
      <c r="C641" t="s">
        <v>21</v>
      </c>
      <c r="D641" t="s">
        <v>26</v>
      </c>
      <c r="E641" t="s">
        <v>54</v>
      </c>
      <c r="F641" t="s">
        <v>17</v>
      </c>
      <c r="G641">
        <v>1</v>
      </c>
      <c r="H641">
        <v>624</v>
      </c>
      <c r="I641">
        <v>624</v>
      </c>
      <c r="J641">
        <v>468</v>
      </c>
      <c r="K641">
        <v>156</v>
      </c>
      <c r="L641" t="s">
        <v>38</v>
      </c>
      <c r="M641" t="s">
        <v>19</v>
      </c>
      <c r="N641" t="str">
        <f>IF(SalesTbl[[#This Row],[Profit]]&gt;180,"High Profit","Low Profit")</f>
        <v>Low Profit</v>
      </c>
      <c r="O641" t="str">
        <f>TEXT(SalesTbl[[#This Row],[Date]],"mmm")</f>
        <v>Jan</v>
      </c>
    </row>
    <row r="642" spans="1:15" x14ac:dyDescent="0.3">
      <c r="A642">
        <v>1641</v>
      </c>
      <c r="B642" t="s">
        <v>113</v>
      </c>
      <c r="C642" t="s">
        <v>14</v>
      </c>
      <c r="D642" t="s">
        <v>35</v>
      </c>
      <c r="E642" t="s">
        <v>54</v>
      </c>
      <c r="F642" t="s">
        <v>17</v>
      </c>
      <c r="G642">
        <v>7</v>
      </c>
      <c r="H642">
        <v>915</v>
      </c>
      <c r="I642">
        <v>6405</v>
      </c>
      <c r="J642">
        <v>4611</v>
      </c>
      <c r="K642">
        <v>1794</v>
      </c>
      <c r="L642" t="s">
        <v>38</v>
      </c>
      <c r="M642" t="s">
        <v>29</v>
      </c>
      <c r="N642" t="str">
        <f>IF(SalesTbl[[#This Row],[Profit]]&gt;180,"High Profit","Low Profit")</f>
        <v>High Profit</v>
      </c>
      <c r="O642" t="str">
        <f>TEXT(SalesTbl[[#This Row],[Date]],"mmm")</f>
        <v>May</v>
      </c>
    </row>
    <row r="643" spans="1:15" x14ac:dyDescent="0.3">
      <c r="A643">
        <v>1642</v>
      </c>
      <c r="B643" t="s">
        <v>81</v>
      </c>
      <c r="C643" t="s">
        <v>31</v>
      </c>
      <c r="D643" t="s">
        <v>26</v>
      </c>
      <c r="E643" t="s">
        <v>48</v>
      </c>
      <c r="F643" t="s">
        <v>23</v>
      </c>
      <c r="G643">
        <v>6</v>
      </c>
      <c r="H643">
        <v>401</v>
      </c>
      <c r="I643">
        <v>2406</v>
      </c>
      <c r="J643">
        <v>1756</v>
      </c>
      <c r="K643">
        <v>650</v>
      </c>
      <c r="L643" t="s">
        <v>33</v>
      </c>
      <c r="M643" t="s">
        <v>19</v>
      </c>
      <c r="N643" t="str">
        <f>IF(SalesTbl[[#This Row],[Profit]]&gt;180,"High Profit","Low Profit")</f>
        <v>High Profit</v>
      </c>
      <c r="O643" t="str">
        <f>TEXT(SalesTbl[[#This Row],[Date]],"mmm")</f>
        <v>Apr</v>
      </c>
    </row>
    <row r="644" spans="1:15" x14ac:dyDescent="0.3">
      <c r="A644">
        <v>1643</v>
      </c>
      <c r="B644" t="s">
        <v>124</v>
      </c>
      <c r="C644" t="s">
        <v>14</v>
      </c>
      <c r="D644" t="s">
        <v>15</v>
      </c>
      <c r="E644" t="s">
        <v>16</v>
      </c>
      <c r="F644" t="s">
        <v>17</v>
      </c>
      <c r="G644">
        <v>9</v>
      </c>
      <c r="H644">
        <v>990</v>
      </c>
      <c r="I644">
        <v>8910</v>
      </c>
      <c r="J644">
        <v>6058</v>
      </c>
      <c r="K644">
        <v>2852</v>
      </c>
      <c r="L644" t="s">
        <v>33</v>
      </c>
      <c r="M644" t="s">
        <v>19</v>
      </c>
      <c r="N644" t="str">
        <f>IF(SalesTbl[[#This Row],[Profit]]&gt;180,"High Profit","Low Profit")</f>
        <v>High Profit</v>
      </c>
      <c r="O644" t="str">
        <f>TEXT(SalesTbl[[#This Row],[Date]],"mmm")</f>
        <v>Jan</v>
      </c>
    </row>
    <row r="645" spans="1:15" x14ac:dyDescent="0.3">
      <c r="A645">
        <v>1644</v>
      </c>
      <c r="B645" t="s">
        <v>78</v>
      </c>
      <c r="C645" t="s">
        <v>21</v>
      </c>
      <c r="D645" t="s">
        <v>35</v>
      </c>
      <c r="E645" t="s">
        <v>41</v>
      </c>
      <c r="F645" t="s">
        <v>17</v>
      </c>
      <c r="G645">
        <v>5</v>
      </c>
      <c r="H645">
        <v>89</v>
      </c>
      <c r="I645">
        <v>445</v>
      </c>
      <c r="J645">
        <v>280</v>
      </c>
      <c r="K645">
        <v>165</v>
      </c>
      <c r="L645" t="s">
        <v>33</v>
      </c>
      <c r="M645" t="s">
        <v>29</v>
      </c>
      <c r="N645" t="str">
        <f>IF(SalesTbl[[#This Row],[Profit]]&gt;180,"High Profit","Low Profit")</f>
        <v>Low Profit</v>
      </c>
      <c r="O645" t="str">
        <f>TEXT(SalesTbl[[#This Row],[Date]],"mmm")</f>
        <v>Jun</v>
      </c>
    </row>
    <row r="646" spans="1:15" x14ac:dyDescent="0.3">
      <c r="A646">
        <v>1645</v>
      </c>
      <c r="B646" t="s">
        <v>103</v>
      </c>
      <c r="C646" t="s">
        <v>31</v>
      </c>
      <c r="D646" t="s">
        <v>15</v>
      </c>
      <c r="E646" t="s">
        <v>27</v>
      </c>
      <c r="F646" t="s">
        <v>17</v>
      </c>
      <c r="G646">
        <v>8</v>
      </c>
      <c r="H646">
        <v>447</v>
      </c>
      <c r="I646">
        <v>3576</v>
      </c>
      <c r="J646">
        <v>2610</v>
      </c>
      <c r="K646">
        <v>966</v>
      </c>
      <c r="L646" t="s">
        <v>38</v>
      </c>
      <c r="M646" t="s">
        <v>19</v>
      </c>
      <c r="N646" t="str">
        <f>IF(SalesTbl[[#This Row],[Profit]]&gt;180,"High Profit","Low Profit")</f>
        <v>High Profit</v>
      </c>
      <c r="O646" t="str">
        <f>TEXT(SalesTbl[[#This Row],[Date]],"mmm")</f>
        <v>Feb</v>
      </c>
    </row>
    <row r="647" spans="1:15" x14ac:dyDescent="0.3">
      <c r="A647">
        <v>1646</v>
      </c>
      <c r="B647" t="s">
        <v>119</v>
      </c>
      <c r="C647" t="s">
        <v>21</v>
      </c>
      <c r="D647" t="s">
        <v>35</v>
      </c>
      <c r="E647" t="s">
        <v>41</v>
      </c>
      <c r="F647" t="s">
        <v>17</v>
      </c>
      <c r="G647">
        <v>5</v>
      </c>
      <c r="H647">
        <v>333</v>
      </c>
      <c r="I647">
        <v>1665</v>
      </c>
      <c r="J647">
        <v>1198</v>
      </c>
      <c r="K647">
        <v>467</v>
      </c>
      <c r="L647" t="s">
        <v>38</v>
      </c>
      <c r="M647" t="s">
        <v>19</v>
      </c>
      <c r="N647" t="str">
        <f>IF(SalesTbl[[#This Row],[Profit]]&gt;180,"High Profit","Low Profit")</f>
        <v>High Profit</v>
      </c>
      <c r="O647" t="str">
        <f>TEXT(SalesTbl[[#This Row],[Date]],"mmm")</f>
        <v>Mar</v>
      </c>
    </row>
    <row r="648" spans="1:15" x14ac:dyDescent="0.3">
      <c r="A648">
        <v>1117</v>
      </c>
      <c r="B648" t="s">
        <v>52</v>
      </c>
      <c r="C648" t="s">
        <v>40</v>
      </c>
      <c r="D648" t="s">
        <v>15</v>
      </c>
      <c r="E648" t="s">
        <v>27</v>
      </c>
      <c r="F648" t="s">
        <v>17</v>
      </c>
      <c r="G648">
        <v>2</v>
      </c>
      <c r="H648">
        <v>618</v>
      </c>
      <c r="I648">
        <v>1236</v>
      </c>
      <c r="J648">
        <v>815</v>
      </c>
      <c r="K648">
        <v>421</v>
      </c>
      <c r="L648" t="s">
        <v>24</v>
      </c>
      <c r="M648" t="s">
        <v>29</v>
      </c>
      <c r="N648" t="str">
        <f>IF(SalesTbl[[#This Row],[Profit]]&gt;180,"High Profit","Low Profit")</f>
        <v>High Profit</v>
      </c>
      <c r="O648" t="str">
        <f>TEXT(SalesTbl[[#This Row],[Date]],"mmm")</f>
        <v>Mar</v>
      </c>
    </row>
    <row r="649" spans="1:15" x14ac:dyDescent="0.3">
      <c r="A649">
        <v>1487</v>
      </c>
      <c r="B649" t="s">
        <v>80</v>
      </c>
      <c r="C649" t="s">
        <v>40</v>
      </c>
      <c r="D649" t="s">
        <v>35</v>
      </c>
      <c r="E649" t="s">
        <v>16</v>
      </c>
      <c r="F649" t="s">
        <v>17</v>
      </c>
      <c r="G649">
        <v>2</v>
      </c>
      <c r="H649">
        <v>591</v>
      </c>
      <c r="I649">
        <v>1182</v>
      </c>
      <c r="J649">
        <v>768</v>
      </c>
      <c r="K649">
        <v>414</v>
      </c>
      <c r="L649" t="s">
        <v>24</v>
      </c>
      <c r="M649" t="s">
        <v>29</v>
      </c>
      <c r="N649" t="str">
        <f>IF(SalesTbl[[#This Row],[Profit]]&gt;180,"High Profit","Low Profit")</f>
        <v>High Profit</v>
      </c>
      <c r="O649" t="str">
        <f>TEXT(SalesTbl[[#This Row],[Date]],"mmm")</f>
        <v>Apr</v>
      </c>
    </row>
    <row r="650" spans="1:15" x14ac:dyDescent="0.3">
      <c r="A650">
        <v>1649</v>
      </c>
      <c r="B650" t="s">
        <v>137</v>
      </c>
      <c r="C650" t="s">
        <v>31</v>
      </c>
      <c r="D650" t="s">
        <v>15</v>
      </c>
      <c r="E650" t="s">
        <v>54</v>
      </c>
      <c r="F650" t="s">
        <v>17</v>
      </c>
      <c r="G650">
        <v>7</v>
      </c>
      <c r="H650">
        <v>929</v>
      </c>
      <c r="I650">
        <v>6503</v>
      </c>
      <c r="J650">
        <v>4747</v>
      </c>
      <c r="K650">
        <v>1756</v>
      </c>
      <c r="L650" t="s">
        <v>18</v>
      </c>
      <c r="M650" t="s">
        <v>29</v>
      </c>
      <c r="N650" t="str">
        <f>IF(SalesTbl[[#This Row],[Profit]]&gt;180,"High Profit","Low Profit")</f>
        <v>High Profit</v>
      </c>
      <c r="O650" t="str">
        <f>TEXT(SalesTbl[[#This Row],[Date]],"mmm")</f>
        <v>Feb</v>
      </c>
    </row>
    <row r="651" spans="1:15" x14ac:dyDescent="0.3">
      <c r="A651">
        <v>1650</v>
      </c>
      <c r="B651" t="s">
        <v>212</v>
      </c>
      <c r="C651" t="s">
        <v>14</v>
      </c>
      <c r="D651" t="s">
        <v>35</v>
      </c>
      <c r="E651" t="s">
        <v>41</v>
      </c>
      <c r="F651" t="s">
        <v>17</v>
      </c>
      <c r="G651">
        <v>7</v>
      </c>
      <c r="H651">
        <v>101</v>
      </c>
      <c r="I651">
        <v>707</v>
      </c>
      <c r="J651">
        <v>445</v>
      </c>
      <c r="K651">
        <v>262</v>
      </c>
      <c r="L651" t="s">
        <v>18</v>
      </c>
      <c r="M651" t="s">
        <v>29</v>
      </c>
      <c r="N651" t="str">
        <f>IF(SalesTbl[[#This Row],[Profit]]&gt;180,"High Profit","Low Profit")</f>
        <v>High Profit</v>
      </c>
      <c r="O651" t="str">
        <f>TEXT(SalesTbl[[#This Row],[Date]],"mmm")</f>
        <v>Mar</v>
      </c>
    </row>
    <row r="652" spans="1:15" x14ac:dyDescent="0.3">
      <c r="A652">
        <v>1651</v>
      </c>
      <c r="B652" t="s">
        <v>120</v>
      </c>
      <c r="C652" t="s">
        <v>14</v>
      </c>
      <c r="D652" t="s">
        <v>15</v>
      </c>
      <c r="E652" t="s">
        <v>41</v>
      </c>
      <c r="F652" t="s">
        <v>17</v>
      </c>
      <c r="G652">
        <v>8</v>
      </c>
      <c r="H652">
        <v>138</v>
      </c>
      <c r="I652">
        <v>1104</v>
      </c>
      <c r="J652">
        <v>816</v>
      </c>
      <c r="K652">
        <v>288</v>
      </c>
      <c r="L652" t="s">
        <v>33</v>
      </c>
      <c r="M652" t="s">
        <v>29</v>
      </c>
      <c r="N652" t="str">
        <f>IF(SalesTbl[[#This Row],[Profit]]&gt;180,"High Profit","Low Profit")</f>
        <v>High Profit</v>
      </c>
      <c r="O652" t="str">
        <f>TEXT(SalesTbl[[#This Row],[Date]],"mmm")</f>
        <v>Jan</v>
      </c>
    </row>
    <row r="653" spans="1:15" x14ac:dyDescent="0.3">
      <c r="A653">
        <v>1652</v>
      </c>
      <c r="B653" t="s">
        <v>197</v>
      </c>
      <c r="C653" t="s">
        <v>21</v>
      </c>
      <c r="D653" t="s">
        <v>15</v>
      </c>
      <c r="E653" t="s">
        <v>48</v>
      </c>
      <c r="F653" t="s">
        <v>23</v>
      </c>
      <c r="G653">
        <v>10</v>
      </c>
      <c r="H653">
        <v>893</v>
      </c>
      <c r="I653">
        <v>8930</v>
      </c>
      <c r="J653">
        <v>5358</v>
      </c>
      <c r="K653">
        <v>3572</v>
      </c>
      <c r="L653" t="s">
        <v>28</v>
      </c>
      <c r="M653" t="s">
        <v>19</v>
      </c>
      <c r="N653" t="str">
        <f>IF(SalesTbl[[#This Row],[Profit]]&gt;180,"High Profit","Low Profit")</f>
        <v>High Profit</v>
      </c>
      <c r="O653" t="str">
        <f>TEXT(SalesTbl[[#This Row],[Date]],"mmm")</f>
        <v>Apr</v>
      </c>
    </row>
    <row r="654" spans="1:15" x14ac:dyDescent="0.3">
      <c r="A654">
        <v>1994</v>
      </c>
      <c r="B654" t="s">
        <v>176</v>
      </c>
      <c r="C654" t="s">
        <v>40</v>
      </c>
      <c r="D654" t="s">
        <v>32</v>
      </c>
      <c r="E654" t="s">
        <v>27</v>
      </c>
      <c r="F654" t="s">
        <v>17</v>
      </c>
      <c r="G654">
        <v>6</v>
      </c>
      <c r="H654">
        <v>188</v>
      </c>
      <c r="I654">
        <v>1128</v>
      </c>
      <c r="J654">
        <v>721</v>
      </c>
      <c r="K654">
        <v>407</v>
      </c>
      <c r="L654" t="s">
        <v>38</v>
      </c>
      <c r="M654" t="s">
        <v>29</v>
      </c>
      <c r="N654" t="str">
        <f>IF(SalesTbl[[#This Row],[Profit]]&gt;180,"High Profit","Low Profit")</f>
        <v>High Profit</v>
      </c>
      <c r="O654" t="str">
        <f>TEXT(SalesTbl[[#This Row],[Date]],"mmm")</f>
        <v>Jan</v>
      </c>
    </row>
    <row r="655" spans="1:15" x14ac:dyDescent="0.3">
      <c r="A655">
        <v>1654</v>
      </c>
      <c r="B655" t="s">
        <v>90</v>
      </c>
      <c r="C655" t="s">
        <v>21</v>
      </c>
      <c r="D655" t="s">
        <v>32</v>
      </c>
      <c r="E655" t="s">
        <v>41</v>
      </c>
      <c r="F655" t="s">
        <v>17</v>
      </c>
      <c r="G655">
        <v>4</v>
      </c>
      <c r="H655">
        <v>784</v>
      </c>
      <c r="I655">
        <v>3136</v>
      </c>
      <c r="J655">
        <v>1944</v>
      </c>
      <c r="K655">
        <v>1192</v>
      </c>
      <c r="L655" t="s">
        <v>28</v>
      </c>
      <c r="M655" t="s">
        <v>19</v>
      </c>
      <c r="N655" t="str">
        <f>IF(SalesTbl[[#This Row],[Profit]]&gt;180,"High Profit","Low Profit")</f>
        <v>High Profit</v>
      </c>
      <c r="O655" t="str">
        <f>TEXT(SalesTbl[[#This Row],[Date]],"mmm")</f>
        <v>Jan</v>
      </c>
    </row>
    <row r="656" spans="1:15" x14ac:dyDescent="0.3">
      <c r="A656">
        <v>1268</v>
      </c>
      <c r="B656" t="s">
        <v>135</v>
      </c>
      <c r="C656" t="s">
        <v>40</v>
      </c>
      <c r="D656" t="s">
        <v>15</v>
      </c>
      <c r="E656" t="s">
        <v>27</v>
      </c>
      <c r="F656" t="s">
        <v>17</v>
      </c>
      <c r="G656">
        <v>2</v>
      </c>
      <c r="H656">
        <v>881</v>
      </c>
      <c r="I656">
        <v>1762</v>
      </c>
      <c r="J656">
        <v>1356</v>
      </c>
      <c r="K656">
        <v>406</v>
      </c>
      <c r="L656" t="s">
        <v>28</v>
      </c>
      <c r="M656" t="s">
        <v>29</v>
      </c>
      <c r="N656" t="str">
        <f>IF(SalesTbl[[#This Row],[Profit]]&gt;180,"High Profit","Low Profit")</f>
        <v>High Profit</v>
      </c>
      <c r="O656" t="str">
        <f>TEXT(SalesTbl[[#This Row],[Date]],"mmm")</f>
        <v>May</v>
      </c>
    </row>
    <row r="657" spans="1:15" x14ac:dyDescent="0.3">
      <c r="A657">
        <v>1656</v>
      </c>
      <c r="B657" t="s">
        <v>170</v>
      </c>
      <c r="C657" t="s">
        <v>21</v>
      </c>
      <c r="D657" t="s">
        <v>35</v>
      </c>
      <c r="E657" t="s">
        <v>48</v>
      </c>
      <c r="F657" t="s">
        <v>23</v>
      </c>
      <c r="G657">
        <v>8</v>
      </c>
      <c r="H657">
        <v>437</v>
      </c>
      <c r="I657">
        <v>3496</v>
      </c>
      <c r="J657">
        <v>2307</v>
      </c>
      <c r="K657">
        <v>1189</v>
      </c>
      <c r="L657" t="s">
        <v>28</v>
      </c>
      <c r="M657" t="s">
        <v>29</v>
      </c>
      <c r="N657" t="str">
        <f>IF(SalesTbl[[#This Row],[Profit]]&gt;180,"High Profit","Low Profit")</f>
        <v>High Profit</v>
      </c>
      <c r="O657" t="str">
        <f>TEXT(SalesTbl[[#This Row],[Date]],"mmm")</f>
        <v>Jan</v>
      </c>
    </row>
    <row r="658" spans="1:15" x14ac:dyDescent="0.3">
      <c r="A658">
        <v>1657</v>
      </c>
      <c r="B658" t="s">
        <v>200</v>
      </c>
      <c r="C658" t="s">
        <v>40</v>
      </c>
      <c r="D658" t="s">
        <v>32</v>
      </c>
      <c r="E658" t="s">
        <v>22</v>
      </c>
      <c r="F658" t="s">
        <v>23</v>
      </c>
      <c r="G658">
        <v>5</v>
      </c>
      <c r="H658">
        <v>399</v>
      </c>
      <c r="I658">
        <v>1995</v>
      </c>
      <c r="J658">
        <v>1336</v>
      </c>
      <c r="K658">
        <v>659</v>
      </c>
      <c r="L658" t="s">
        <v>24</v>
      </c>
      <c r="M658" t="s">
        <v>29</v>
      </c>
      <c r="N658" t="str">
        <f>IF(SalesTbl[[#This Row],[Profit]]&gt;180,"High Profit","Low Profit")</f>
        <v>High Profit</v>
      </c>
      <c r="O658" t="str">
        <f>TEXT(SalesTbl[[#This Row],[Date]],"mmm")</f>
        <v>Mar</v>
      </c>
    </row>
    <row r="659" spans="1:15" x14ac:dyDescent="0.3">
      <c r="A659">
        <v>1658</v>
      </c>
      <c r="B659" t="s">
        <v>148</v>
      </c>
      <c r="C659" t="s">
        <v>21</v>
      </c>
      <c r="D659" t="s">
        <v>35</v>
      </c>
      <c r="E659" t="s">
        <v>48</v>
      </c>
      <c r="F659" t="s">
        <v>23</v>
      </c>
      <c r="G659">
        <v>1</v>
      </c>
      <c r="H659">
        <v>984</v>
      </c>
      <c r="I659">
        <v>984</v>
      </c>
      <c r="J659">
        <v>639</v>
      </c>
      <c r="K659">
        <v>345</v>
      </c>
      <c r="L659" t="s">
        <v>24</v>
      </c>
      <c r="M659" t="s">
        <v>19</v>
      </c>
      <c r="N659" t="str">
        <f>IF(SalesTbl[[#This Row],[Profit]]&gt;180,"High Profit","Low Profit")</f>
        <v>High Profit</v>
      </c>
      <c r="O659" t="str">
        <f>TEXT(SalesTbl[[#This Row],[Date]],"mmm")</f>
        <v>Mar</v>
      </c>
    </row>
    <row r="660" spans="1:15" x14ac:dyDescent="0.3">
      <c r="A660">
        <v>1659</v>
      </c>
      <c r="B660" t="s">
        <v>51</v>
      </c>
      <c r="C660" t="s">
        <v>31</v>
      </c>
      <c r="D660" t="s">
        <v>15</v>
      </c>
      <c r="E660" t="s">
        <v>22</v>
      </c>
      <c r="F660" t="s">
        <v>23</v>
      </c>
      <c r="G660">
        <v>4</v>
      </c>
      <c r="H660">
        <v>160</v>
      </c>
      <c r="I660">
        <v>640</v>
      </c>
      <c r="J660">
        <v>505</v>
      </c>
      <c r="K660">
        <v>135</v>
      </c>
      <c r="L660" t="s">
        <v>28</v>
      </c>
      <c r="M660" t="s">
        <v>19</v>
      </c>
      <c r="N660" t="str">
        <f>IF(SalesTbl[[#This Row],[Profit]]&gt;180,"High Profit","Low Profit")</f>
        <v>Low Profit</v>
      </c>
      <c r="O660" t="str">
        <f>TEXT(SalesTbl[[#This Row],[Date]],"mmm")</f>
        <v>May</v>
      </c>
    </row>
    <row r="661" spans="1:15" x14ac:dyDescent="0.3">
      <c r="A661">
        <v>1660</v>
      </c>
      <c r="B661" t="s">
        <v>190</v>
      </c>
      <c r="C661" t="s">
        <v>40</v>
      </c>
      <c r="D661" t="s">
        <v>26</v>
      </c>
      <c r="E661" t="s">
        <v>48</v>
      </c>
      <c r="F661" t="s">
        <v>23</v>
      </c>
      <c r="G661">
        <v>7</v>
      </c>
      <c r="H661">
        <v>859</v>
      </c>
      <c r="I661">
        <v>6013</v>
      </c>
      <c r="J661">
        <v>4329</v>
      </c>
      <c r="K661">
        <v>1684</v>
      </c>
      <c r="L661" t="s">
        <v>38</v>
      </c>
      <c r="M661" t="s">
        <v>19</v>
      </c>
      <c r="N661" t="str">
        <f>IF(SalesTbl[[#This Row],[Profit]]&gt;180,"High Profit","Low Profit")</f>
        <v>High Profit</v>
      </c>
      <c r="O661" t="str">
        <f>TEXT(SalesTbl[[#This Row],[Date]],"mmm")</f>
        <v>Jun</v>
      </c>
    </row>
    <row r="662" spans="1:15" x14ac:dyDescent="0.3">
      <c r="A662">
        <v>1661</v>
      </c>
      <c r="B662" t="s">
        <v>112</v>
      </c>
      <c r="C662" t="s">
        <v>14</v>
      </c>
      <c r="D662" t="s">
        <v>26</v>
      </c>
      <c r="E662" t="s">
        <v>27</v>
      </c>
      <c r="F662" t="s">
        <v>17</v>
      </c>
      <c r="G662">
        <v>4</v>
      </c>
      <c r="H662">
        <v>243</v>
      </c>
      <c r="I662">
        <v>972</v>
      </c>
      <c r="J662">
        <v>631</v>
      </c>
      <c r="K662">
        <v>341</v>
      </c>
      <c r="L662" t="s">
        <v>28</v>
      </c>
      <c r="M662" t="s">
        <v>29</v>
      </c>
      <c r="N662" t="str">
        <f>IF(SalesTbl[[#This Row],[Profit]]&gt;180,"High Profit","Low Profit")</f>
        <v>High Profit</v>
      </c>
      <c r="O662" t="str">
        <f>TEXT(SalesTbl[[#This Row],[Date]],"mmm")</f>
        <v>Jun</v>
      </c>
    </row>
    <row r="663" spans="1:15" x14ac:dyDescent="0.3">
      <c r="A663">
        <v>1662</v>
      </c>
      <c r="B663" t="s">
        <v>106</v>
      </c>
      <c r="C663" t="s">
        <v>14</v>
      </c>
      <c r="D663" t="s">
        <v>32</v>
      </c>
      <c r="E663" t="s">
        <v>16</v>
      </c>
      <c r="F663" t="s">
        <v>17</v>
      </c>
      <c r="G663">
        <v>6</v>
      </c>
      <c r="H663">
        <v>267</v>
      </c>
      <c r="I663">
        <v>1602</v>
      </c>
      <c r="J663">
        <v>1089</v>
      </c>
      <c r="K663">
        <v>513</v>
      </c>
      <c r="L663" t="s">
        <v>38</v>
      </c>
      <c r="M663" t="s">
        <v>19</v>
      </c>
      <c r="N663" t="str">
        <f>IF(SalesTbl[[#This Row],[Profit]]&gt;180,"High Profit","Low Profit")</f>
        <v>High Profit</v>
      </c>
      <c r="O663" t="str">
        <f>TEXT(SalesTbl[[#This Row],[Date]],"mmm")</f>
        <v>May</v>
      </c>
    </row>
    <row r="664" spans="1:15" x14ac:dyDescent="0.3">
      <c r="A664">
        <v>1663</v>
      </c>
      <c r="B664" t="s">
        <v>91</v>
      </c>
      <c r="C664" t="s">
        <v>21</v>
      </c>
      <c r="D664" t="s">
        <v>35</v>
      </c>
      <c r="E664" t="s">
        <v>48</v>
      </c>
      <c r="F664" t="s">
        <v>23</v>
      </c>
      <c r="G664">
        <v>3</v>
      </c>
      <c r="H664">
        <v>869</v>
      </c>
      <c r="I664">
        <v>2607</v>
      </c>
      <c r="J664">
        <v>1590</v>
      </c>
      <c r="K664">
        <v>1017</v>
      </c>
      <c r="L664" t="s">
        <v>38</v>
      </c>
      <c r="M664" t="s">
        <v>19</v>
      </c>
      <c r="N664" t="str">
        <f>IF(SalesTbl[[#This Row],[Profit]]&gt;180,"High Profit","Low Profit")</f>
        <v>High Profit</v>
      </c>
      <c r="O664" t="str">
        <f>TEXT(SalesTbl[[#This Row],[Date]],"mmm")</f>
        <v>Feb</v>
      </c>
    </row>
    <row r="665" spans="1:15" x14ac:dyDescent="0.3">
      <c r="A665">
        <v>1664</v>
      </c>
      <c r="B665" t="s">
        <v>181</v>
      </c>
      <c r="C665" t="s">
        <v>40</v>
      </c>
      <c r="D665" t="s">
        <v>15</v>
      </c>
      <c r="E665" t="s">
        <v>22</v>
      </c>
      <c r="F665" t="s">
        <v>23</v>
      </c>
      <c r="G665">
        <v>10</v>
      </c>
      <c r="H665">
        <v>432</v>
      </c>
      <c r="I665">
        <v>4320</v>
      </c>
      <c r="J665">
        <v>2592</v>
      </c>
      <c r="K665">
        <v>1728</v>
      </c>
      <c r="L665" t="s">
        <v>33</v>
      </c>
      <c r="M665" t="s">
        <v>29</v>
      </c>
      <c r="N665" t="str">
        <f>IF(SalesTbl[[#This Row],[Profit]]&gt;180,"High Profit","Low Profit")</f>
        <v>High Profit</v>
      </c>
      <c r="O665" t="str">
        <f>TEXT(SalesTbl[[#This Row],[Date]],"mmm")</f>
        <v>Jan</v>
      </c>
    </row>
    <row r="666" spans="1:15" x14ac:dyDescent="0.3">
      <c r="A666">
        <v>1665</v>
      </c>
      <c r="B666" t="s">
        <v>132</v>
      </c>
      <c r="C666" t="s">
        <v>31</v>
      </c>
      <c r="D666" t="s">
        <v>26</v>
      </c>
      <c r="E666" t="s">
        <v>41</v>
      </c>
      <c r="F666" t="s">
        <v>17</v>
      </c>
      <c r="G666">
        <v>10</v>
      </c>
      <c r="H666">
        <v>265</v>
      </c>
      <c r="I666">
        <v>2650</v>
      </c>
      <c r="J666">
        <v>1828</v>
      </c>
      <c r="K666">
        <v>822</v>
      </c>
      <c r="L666" t="s">
        <v>18</v>
      </c>
      <c r="M666" t="s">
        <v>19</v>
      </c>
      <c r="N666" t="str">
        <f>IF(SalesTbl[[#This Row],[Profit]]&gt;180,"High Profit","Low Profit")</f>
        <v>High Profit</v>
      </c>
      <c r="O666" t="str">
        <f>TEXT(SalesTbl[[#This Row],[Date]],"mmm")</f>
        <v>Jan</v>
      </c>
    </row>
    <row r="667" spans="1:15" x14ac:dyDescent="0.3">
      <c r="A667">
        <v>1666</v>
      </c>
      <c r="B667" t="s">
        <v>68</v>
      </c>
      <c r="C667" t="s">
        <v>14</v>
      </c>
      <c r="D667" t="s">
        <v>26</v>
      </c>
      <c r="E667" t="s">
        <v>54</v>
      </c>
      <c r="F667" t="s">
        <v>17</v>
      </c>
      <c r="G667">
        <v>8</v>
      </c>
      <c r="H667">
        <v>288</v>
      </c>
      <c r="I667">
        <v>2304</v>
      </c>
      <c r="J667">
        <v>1797</v>
      </c>
      <c r="K667">
        <v>507</v>
      </c>
      <c r="L667" t="s">
        <v>38</v>
      </c>
      <c r="M667" t="s">
        <v>19</v>
      </c>
      <c r="N667" t="str">
        <f>IF(SalesTbl[[#This Row],[Profit]]&gt;180,"High Profit","Low Profit")</f>
        <v>High Profit</v>
      </c>
      <c r="O667" t="str">
        <f>TEXT(SalesTbl[[#This Row],[Date]],"mmm")</f>
        <v>Apr</v>
      </c>
    </row>
    <row r="668" spans="1:15" x14ac:dyDescent="0.3">
      <c r="A668">
        <v>1667</v>
      </c>
      <c r="B668" t="s">
        <v>182</v>
      </c>
      <c r="C668" t="s">
        <v>31</v>
      </c>
      <c r="D668" t="s">
        <v>32</v>
      </c>
      <c r="E668" t="s">
        <v>22</v>
      </c>
      <c r="F668" t="s">
        <v>23</v>
      </c>
      <c r="G668">
        <v>6</v>
      </c>
      <c r="H668">
        <v>961</v>
      </c>
      <c r="I668">
        <v>5766</v>
      </c>
      <c r="J668">
        <v>3632</v>
      </c>
      <c r="K668">
        <v>2134</v>
      </c>
      <c r="L668" t="s">
        <v>38</v>
      </c>
      <c r="M668" t="s">
        <v>19</v>
      </c>
      <c r="N668" t="str">
        <f>IF(SalesTbl[[#This Row],[Profit]]&gt;180,"High Profit","Low Profit")</f>
        <v>High Profit</v>
      </c>
      <c r="O668" t="str">
        <f>TEXT(SalesTbl[[#This Row],[Date]],"mmm")</f>
        <v>Mar</v>
      </c>
    </row>
    <row r="669" spans="1:15" x14ac:dyDescent="0.3">
      <c r="A669">
        <v>1668</v>
      </c>
      <c r="B669" t="s">
        <v>66</v>
      </c>
      <c r="C669" t="s">
        <v>14</v>
      </c>
      <c r="D669" t="s">
        <v>26</v>
      </c>
      <c r="E669" t="s">
        <v>41</v>
      </c>
      <c r="F669" t="s">
        <v>17</v>
      </c>
      <c r="G669">
        <v>4</v>
      </c>
      <c r="H669">
        <v>914</v>
      </c>
      <c r="I669">
        <v>3656</v>
      </c>
      <c r="J669">
        <v>2888</v>
      </c>
      <c r="K669">
        <v>768</v>
      </c>
      <c r="L669" t="s">
        <v>38</v>
      </c>
      <c r="M669" t="s">
        <v>19</v>
      </c>
      <c r="N669" t="str">
        <f>IF(SalesTbl[[#This Row],[Profit]]&gt;180,"High Profit","Low Profit")</f>
        <v>High Profit</v>
      </c>
      <c r="O669" t="str">
        <f>TEXT(SalesTbl[[#This Row],[Date]],"mmm")</f>
        <v>Apr</v>
      </c>
    </row>
    <row r="670" spans="1:15" x14ac:dyDescent="0.3">
      <c r="A670">
        <v>1669</v>
      </c>
      <c r="B670" t="s">
        <v>180</v>
      </c>
      <c r="C670" t="s">
        <v>21</v>
      </c>
      <c r="D670" t="s">
        <v>15</v>
      </c>
      <c r="E670" t="s">
        <v>48</v>
      </c>
      <c r="F670" t="s">
        <v>23</v>
      </c>
      <c r="G670">
        <v>3</v>
      </c>
      <c r="H670">
        <v>530</v>
      </c>
      <c r="I670">
        <v>1590</v>
      </c>
      <c r="J670">
        <v>1097</v>
      </c>
      <c r="K670">
        <v>493</v>
      </c>
      <c r="L670" t="s">
        <v>33</v>
      </c>
      <c r="M670" t="s">
        <v>19</v>
      </c>
      <c r="N670" t="str">
        <f>IF(SalesTbl[[#This Row],[Profit]]&gt;180,"High Profit","Low Profit")</f>
        <v>High Profit</v>
      </c>
      <c r="O670" t="str">
        <f>TEXT(SalesTbl[[#This Row],[Date]],"mmm")</f>
        <v>Feb</v>
      </c>
    </row>
    <row r="671" spans="1:15" x14ac:dyDescent="0.3">
      <c r="A671">
        <v>1670</v>
      </c>
      <c r="B671" t="s">
        <v>121</v>
      </c>
      <c r="C671" t="s">
        <v>14</v>
      </c>
      <c r="D671" t="s">
        <v>35</v>
      </c>
      <c r="E671" t="s">
        <v>22</v>
      </c>
      <c r="F671" t="s">
        <v>23</v>
      </c>
      <c r="G671">
        <v>6</v>
      </c>
      <c r="H671">
        <v>230</v>
      </c>
      <c r="I671">
        <v>1380</v>
      </c>
      <c r="J671">
        <v>841</v>
      </c>
      <c r="K671">
        <v>539</v>
      </c>
      <c r="L671" t="s">
        <v>24</v>
      </c>
      <c r="M671" t="s">
        <v>19</v>
      </c>
      <c r="N671" t="str">
        <f>IF(SalesTbl[[#This Row],[Profit]]&gt;180,"High Profit","Low Profit")</f>
        <v>High Profit</v>
      </c>
      <c r="O671" t="str">
        <f>TEXT(SalesTbl[[#This Row],[Date]],"mmm")</f>
        <v>Feb</v>
      </c>
    </row>
    <row r="672" spans="1:15" x14ac:dyDescent="0.3">
      <c r="A672">
        <v>1671</v>
      </c>
      <c r="B672" t="s">
        <v>173</v>
      </c>
      <c r="C672" t="s">
        <v>31</v>
      </c>
      <c r="D672" t="s">
        <v>35</v>
      </c>
      <c r="E672" t="s">
        <v>22</v>
      </c>
      <c r="F672" t="s">
        <v>23</v>
      </c>
      <c r="G672">
        <v>8</v>
      </c>
      <c r="H672">
        <v>817</v>
      </c>
      <c r="I672">
        <v>6536</v>
      </c>
      <c r="J672">
        <v>4575</v>
      </c>
      <c r="K672">
        <v>1961</v>
      </c>
      <c r="L672" t="s">
        <v>28</v>
      </c>
      <c r="M672" t="s">
        <v>29</v>
      </c>
      <c r="N672" t="str">
        <f>IF(SalesTbl[[#This Row],[Profit]]&gt;180,"High Profit","Low Profit")</f>
        <v>High Profit</v>
      </c>
      <c r="O672" t="str">
        <f>TEXT(SalesTbl[[#This Row],[Date]],"mmm")</f>
        <v>Feb</v>
      </c>
    </row>
    <row r="673" spans="1:15" x14ac:dyDescent="0.3">
      <c r="A673">
        <v>1672</v>
      </c>
      <c r="B673" t="s">
        <v>52</v>
      </c>
      <c r="C673" t="s">
        <v>14</v>
      </c>
      <c r="D673" t="s">
        <v>26</v>
      </c>
      <c r="E673" t="s">
        <v>41</v>
      </c>
      <c r="F673" t="s">
        <v>17</v>
      </c>
      <c r="G673">
        <v>3</v>
      </c>
      <c r="H673">
        <v>299</v>
      </c>
      <c r="I673">
        <v>897</v>
      </c>
      <c r="J673">
        <v>672</v>
      </c>
      <c r="K673">
        <v>225</v>
      </c>
      <c r="L673" t="s">
        <v>18</v>
      </c>
      <c r="M673" t="s">
        <v>19</v>
      </c>
      <c r="N673" t="str">
        <f>IF(SalesTbl[[#This Row],[Profit]]&gt;180,"High Profit","Low Profit")</f>
        <v>High Profit</v>
      </c>
      <c r="O673" t="str">
        <f>TEXT(SalesTbl[[#This Row],[Date]],"mmm")</f>
        <v>Mar</v>
      </c>
    </row>
    <row r="674" spans="1:15" x14ac:dyDescent="0.3">
      <c r="A674">
        <v>1673</v>
      </c>
      <c r="B674" t="s">
        <v>72</v>
      </c>
      <c r="C674" t="s">
        <v>14</v>
      </c>
      <c r="D674" t="s">
        <v>32</v>
      </c>
      <c r="E674" t="s">
        <v>16</v>
      </c>
      <c r="F674" t="s">
        <v>17</v>
      </c>
      <c r="G674">
        <v>2</v>
      </c>
      <c r="H674">
        <v>876</v>
      </c>
      <c r="I674">
        <v>1752</v>
      </c>
      <c r="J674">
        <v>1191</v>
      </c>
      <c r="K674">
        <v>561</v>
      </c>
      <c r="L674" t="s">
        <v>38</v>
      </c>
      <c r="M674" t="s">
        <v>29</v>
      </c>
      <c r="N674" t="str">
        <f>IF(SalesTbl[[#This Row],[Profit]]&gt;180,"High Profit","Low Profit")</f>
        <v>High Profit</v>
      </c>
      <c r="O674" t="str">
        <f>TEXT(SalesTbl[[#This Row],[Date]],"mmm")</f>
        <v>Mar</v>
      </c>
    </row>
    <row r="675" spans="1:15" x14ac:dyDescent="0.3">
      <c r="A675">
        <v>1674</v>
      </c>
      <c r="B675" t="s">
        <v>162</v>
      </c>
      <c r="C675" t="s">
        <v>21</v>
      </c>
      <c r="D675" t="s">
        <v>35</v>
      </c>
      <c r="E675" t="s">
        <v>22</v>
      </c>
      <c r="F675" t="s">
        <v>23</v>
      </c>
      <c r="G675">
        <v>2</v>
      </c>
      <c r="H675">
        <v>104</v>
      </c>
      <c r="I675">
        <v>208</v>
      </c>
      <c r="J675">
        <v>147</v>
      </c>
      <c r="K675">
        <v>61</v>
      </c>
      <c r="L675" t="s">
        <v>18</v>
      </c>
      <c r="M675" t="s">
        <v>29</v>
      </c>
      <c r="N675" t="str">
        <f>IF(SalesTbl[[#This Row],[Profit]]&gt;180,"High Profit","Low Profit")</f>
        <v>Low Profit</v>
      </c>
      <c r="O675" t="str">
        <f>TEXT(SalesTbl[[#This Row],[Date]],"mmm")</f>
        <v>Apr</v>
      </c>
    </row>
    <row r="676" spans="1:15" x14ac:dyDescent="0.3">
      <c r="A676">
        <v>1280</v>
      </c>
      <c r="B676" t="s">
        <v>25</v>
      </c>
      <c r="C676" t="s">
        <v>40</v>
      </c>
      <c r="D676" t="s">
        <v>35</v>
      </c>
      <c r="E676" t="s">
        <v>27</v>
      </c>
      <c r="F676" t="s">
        <v>17</v>
      </c>
      <c r="G676">
        <v>3</v>
      </c>
      <c r="H676">
        <v>578</v>
      </c>
      <c r="I676">
        <v>1734</v>
      </c>
      <c r="J676">
        <v>1335</v>
      </c>
      <c r="K676">
        <v>399</v>
      </c>
      <c r="L676" t="s">
        <v>24</v>
      </c>
      <c r="M676" t="s">
        <v>19</v>
      </c>
      <c r="N676" t="str">
        <f>IF(SalesTbl[[#This Row],[Profit]]&gt;180,"High Profit","Low Profit")</f>
        <v>High Profit</v>
      </c>
      <c r="O676" t="str">
        <f>TEXT(SalesTbl[[#This Row],[Date]],"mmm")</f>
        <v>Feb</v>
      </c>
    </row>
    <row r="677" spans="1:15" x14ac:dyDescent="0.3">
      <c r="A677">
        <v>1676</v>
      </c>
      <c r="B677" t="s">
        <v>175</v>
      </c>
      <c r="C677" t="s">
        <v>14</v>
      </c>
      <c r="D677" t="s">
        <v>32</v>
      </c>
      <c r="E677" t="s">
        <v>41</v>
      </c>
      <c r="F677" t="s">
        <v>17</v>
      </c>
      <c r="G677">
        <v>8</v>
      </c>
      <c r="H677">
        <v>162</v>
      </c>
      <c r="I677">
        <v>1296</v>
      </c>
      <c r="J677">
        <v>816</v>
      </c>
      <c r="K677">
        <v>480</v>
      </c>
      <c r="L677" t="s">
        <v>28</v>
      </c>
      <c r="M677" t="s">
        <v>29</v>
      </c>
      <c r="N677" t="str">
        <f>IF(SalesTbl[[#This Row],[Profit]]&gt;180,"High Profit","Low Profit")</f>
        <v>High Profit</v>
      </c>
      <c r="O677" t="str">
        <f>TEXT(SalesTbl[[#This Row],[Date]],"mmm")</f>
        <v>May</v>
      </c>
    </row>
    <row r="678" spans="1:15" x14ac:dyDescent="0.3">
      <c r="A678">
        <v>1677</v>
      </c>
      <c r="B678" t="s">
        <v>197</v>
      </c>
      <c r="C678" t="s">
        <v>31</v>
      </c>
      <c r="D678" t="s">
        <v>15</v>
      </c>
      <c r="E678" t="s">
        <v>16</v>
      </c>
      <c r="F678" t="s">
        <v>17</v>
      </c>
      <c r="G678">
        <v>2</v>
      </c>
      <c r="H678">
        <v>311</v>
      </c>
      <c r="I678">
        <v>622</v>
      </c>
      <c r="J678">
        <v>422</v>
      </c>
      <c r="K678">
        <v>200</v>
      </c>
      <c r="L678" t="s">
        <v>24</v>
      </c>
      <c r="M678" t="s">
        <v>19</v>
      </c>
      <c r="N678" t="str">
        <f>IF(SalesTbl[[#This Row],[Profit]]&gt;180,"High Profit","Low Profit")</f>
        <v>High Profit</v>
      </c>
      <c r="O678" t="str">
        <f>TEXT(SalesTbl[[#This Row],[Date]],"mmm")</f>
        <v>Apr</v>
      </c>
    </row>
    <row r="679" spans="1:15" x14ac:dyDescent="0.3">
      <c r="A679">
        <v>1678</v>
      </c>
      <c r="B679" t="s">
        <v>133</v>
      </c>
      <c r="C679" t="s">
        <v>21</v>
      </c>
      <c r="D679" t="s">
        <v>26</v>
      </c>
      <c r="E679" t="s">
        <v>41</v>
      </c>
      <c r="F679" t="s">
        <v>17</v>
      </c>
      <c r="G679">
        <v>5</v>
      </c>
      <c r="H679">
        <v>386</v>
      </c>
      <c r="I679">
        <v>1930</v>
      </c>
      <c r="J679">
        <v>1235</v>
      </c>
      <c r="K679">
        <v>695</v>
      </c>
      <c r="L679" t="s">
        <v>33</v>
      </c>
      <c r="M679" t="s">
        <v>19</v>
      </c>
      <c r="N679" t="str">
        <f>IF(SalesTbl[[#This Row],[Profit]]&gt;180,"High Profit","Low Profit")</f>
        <v>High Profit</v>
      </c>
      <c r="O679" t="str">
        <f>TEXT(SalesTbl[[#This Row],[Date]],"mmm")</f>
        <v>May</v>
      </c>
    </row>
    <row r="680" spans="1:15" x14ac:dyDescent="0.3">
      <c r="A680">
        <v>1679</v>
      </c>
      <c r="B680" t="s">
        <v>127</v>
      </c>
      <c r="C680" t="s">
        <v>31</v>
      </c>
      <c r="D680" t="s">
        <v>35</v>
      </c>
      <c r="E680" t="s">
        <v>41</v>
      </c>
      <c r="F680" t="s">
        <v>17</v>
      </c>
      <c r="G680">
        <v>9</v>
      </c>
      <c r="H680">
        <v>822</v>
      </c>
      <c r="I680">
        <v>7398</v>
      </c>
      <c r="J680">
        <v>5770</v>
      </c>
      <c r="K680">
        <v>1628</v>
      </c>
      <c r="L680" t="s">
        <v>18</v>
      </c>
      <c r="M680" t="s">
        <v>19</v>
      </c>
      <c r="N680" t="str">
        <f>IF(SalesTbl[[#This Row],[Profit]]&gt;180,"High Profit","Low Profit")</f>
        <v>High Profit</v>
      </c>
      <c r="O680" t="str">
        <f>TEXT(SalesTbl[[#This Row],[Date]],"mmm")</f>
        <v>Mar</v>
      </c>
    </row>
    <row r="681" spans="1:15" x14ac:dyDescent="0.3">
      <c r="A681">
        <v>1680</v>
      </c>
      <c r="B681" t="s">
        <v>113</v>
      </c>
      <c r="C681" t="s">
        <v>40</v>
      </c>
      <c r="D681" t="s">
        <v>35</v>
      </c>
      <c r="E681" t="s">
        <v>48</v>
      </c>
      <c r="F681" t="s">
        <v>23</v>
      </c>
      <c r="G681">
        <v>8</v>
      </c>
      <c r="H681">
        <v>933</v>
      </c>
      <c r="I681">
        <v>7464</v>
      </c>
      <c r="J681">
        <v>5896</v>
      </c>
      <c r="K681">
        <v>1568</v>
      </c>
      <c r="L681" t="s">
        <v>18</v>
      </c>
      <c r="M681" t="s">
        <v>19</v>
      </c>
      <c r="N681" t="str">
        <f>IF(SalesTbl[[#This Row],[Profit]]&gt;180,"High Profit","Low Profit")</f>
        <v>High Profit</v>
      </c>
      <c r="O681" t="str">
        <f>TEXT(SalesTbl[[#This Row],[Date]],"mmm")</f>
        <v>May</v>
      </c>
    </row>
    <row r="682" spans="1:15" x14ac:dyDescent="0.3">
      <c r="A682">
        <v>1681</v>
      </c>
      <c r="B682" t="s">
        <v>148</v>
      </c>
      <c r="C682" t="s">
        <v>21</v>
      </c>
      <c r="D682" t="s">
        <v>35</v>
      </c>
      <c r="E682" t="s">
        <v>27</v>
      </c>
      <c r="F682" t="s">
        <v>17</v>
      </c>
      <c r="G682">
        <v>8</v>
      </c>
      <c r="H682">
        <v>149</v>
      </c>
      <c r="I682">
        <v>1192</v>
      </c>
      <c r="J682">
        <v>822</v>
      </c>
      <c r="K682">
        <v>370</v>
      </c>
      <c r="L682" t="s">
        <v>38</v>
      </c>
      <c r="M682" t="s">
        <v>29</v>
      </c>
      <c r="N682" t="str">
        <f>IF(SalesTbl[[#This Row],[Profit]]&gt;180,"High Profit","Low Profit")</f>
        <v>High Profit</v>
      </c>
      <c r="O682" t="str">
        <f>TEXT(SalesTbl[[#This Row],[Date]],"mmm")</f>
        <v>Mar</v>
      </c>
    </row>
    <row r="683" spans="1:15" x14ac:dyDescent="0.3">
      <c r="A683">
        <v>1682</v>
      </c>
      <c r="B683" t="s">
        <v>206</v>
      </c>
      <c r="C683" t="s">
        <v>21</v>
      </c>
      <c r="D683" t="s">
        <v>15</v>
      </c>
      <c r="E683" t="s">
        <v>22</v>
      </c>
      <c r="F683" t="s">
        <v>23</v>
      </c>
      <c r="G683">
        <v>8</v>
      </c>
      <c r="H683">
        <v>575</v>
      </c>
      <c r="I683">
        <v>4600</v>
      </c>
      <c r="J683">
        <v>2990</v>
      </c>
      <c r="K683">
        <v>1610</v>
      </c>
      <c r="L683" t="s">
        <v>28</v>
      </c>
      <c r="M683" t="s">
        <v>29</v>
      </c>
      <c r="N683" t="str">
        <f>IF(SalesTbl[[#This Row],[Profit]]&gt;180,"High Profit","Low Profit")</f>
        <v>High Profit</v>
      </c>
      <c r="O683" t="str">
        <f>TEXT(SalesTbl[[#This Row],[Date]],"mmm")</f>
        <v>May</v>
      </c>
    </row>
    <row r="684" spans="1:15" x14ac:dyDescent="0.3">
      <c r="A684">
        <v>1683</v>
      </c>
      <c r="B684" t="s">
        <v>104</v>
      </c>
      <c r="C684" t="s">
        <v>21</v>
      </c>
      <c r="D684" t="s">
        <v>15</v>
      </c>
      <c r="E684" t="s">
        <v>22</v>
      </c>
      <c r="F684" t="s">
        <v>23</v>
      </c>
      <c r="G684">
        <v>5</v>
      </c>
      <c r="H684">
        <v>149</v>
      </c>
      <c r="I684">
        <v>745</v>
      </c>
      <c r="J684">
        <v>469</v>
      </c>
      <c r="K684">
        <v>276</v>
      </c>
      <c r="L684" t="s">
        <v>38</v>
      </c>
      <c r="M684" t="s">
        <v>19</v>
      </c>
      <c r="N684" t="str">
        <f>IF(SalesTbl[[#This Row],[Profit]]&gt;180,"High Profit","Low Profit")</f>
        <v>High Profit</v>
      </c>
      <c r="O684" t="str">
        <f>TEXT(SalesTbl[[#This Row],[Date]],"mmm")</f>
        <v>Jan</v>
      </c>
    </row>
    <row r="685" spans="1:15" x14ac:dyDescent="0.3">
      <c r="A685">
        <v>1684</v>
      </c>
      <c r="B685" t="s">
        <v>111</v>
      </c>
      <c r="C685" t="s">
        <v>21</v>
      </c>
      <c r="D685" t="s">
        <v>35</v>
      </c>
      <c r="E685" t="s">
        <v>54</v>
      </c>
      <c r="F685" t="s">
        <v>17</v>
      </c>
      <c r="G685">
        <v>2</v>
      </c>
      <c r="H685">
        <v>442</v>
      </c>
      <c r="I685">
        <v>884</v>
      </c>
      <c r="J685">
        <v>698</v>
      </c>
      <c r="K685">
        <v>186</v>
      </c>
      <c r="L685" t="s">
        <v>28</v>
      </c>
      <c r="M685" t="s">
        <v>19</v>
      </c>
      <c r="N685" t="str">
        <f>IF(SalesTbl[[#This Row],[Profit]]&gt;180,"High Profit","Low Profit")</f>
        <v>High Profit</v>
      </c>
      <c r="O685" t="str">
        <f>TEXT(SalesTbl[[#This Row],[Date]],"mmm")</f>
        <v>Apr</v>
      </c>
    </row>
    <row r="686" spans="1:15" x14ac:dyDescent="0.3">
      <c r="A686">
        <v>1685</v>
      </c>
      <c r="B686" t="s">
        <v>158</v>
      </c>
      <c r="C686" t="s">
        <v>21</v>
      </c>
      <c r="D686" t="s">
        <v>26</v>
      </c>
      <c r="E686" t="s">
        <v>54</v>
      </c>
      <c r="F686" t="s">
        <v>17</v>
      </c>
      <c r="G686">
        <v>8</v>
      </c>
      <c r="H686">
        <v>452</v>
      </c>
      <c r="I686">
        <v>3616</v>
      </c>
      <c r="J686">
        <v>2205</v>
      </c>
      <c r="K686">
        <v>1411</v>
      </c>
      <c r="L686" t="s">
        <v>28</v>
      </c>
      <c r="M686" t="s">
        <v>29</v>
      </c>
      <c r="N686" t="str">
        <f>IF(SalesTbl[[#This Row],[Profit]]&gt;180,"High Profit","Low Profit")</f>
        <v>High Profit</v>
      </c>
      <c r="O686" t="str">
        <f>TEXT(SalesTbl[[#This Row],[Date]],"mmm")</f>
        <v>Feb</v>
      </c>
    </row>
    <row r="687" spans="1:15" x14ac:dyDescent="0.3">
      <c r="A687">
        <v>1298</v>
      </c>
      <c r="B687" t="s">
        <v>134</v>
      </c>
      <c r="C687" t="s">
        <v>40</v>
      </c>
      <c r="D687" t="s">
        <v>32</v>
      </c>
      <c r="E687" t="s">
        <v>54</v>
      </c>
      <c r="F687" t="s">
        <v>17</v>
      </c>
      <c r="G687">
        <v>2</v>
      </c>
      <c r="H687">
        <v>678</v>
      </c>
      <c r="I687">
        <v>1356</v>
      </c>
      <c r="J687">
        <v>962</v>
      </c>
      <c r="K687">
        <v>394</v>
      </c>
      <c r="L687" t="s">
        <v>28</v>
      </c>
      <c r="M687" t="s">
        <v>29</v>
      </c>
      <c r="N687" t="str">
        <f>IF(SalesTbl[[#This Row],[Profit]]&gt;180,"High Profit","Low Profit")</f>
        <v>High Profit</v>
      </c>
      <c r="O687" t="str">
        <f>TEXT(SalesTbl[[#This Row],[Date]],"mmm")</f>
        <v>Jan</v>
      </c>
    </row>
    <row r="688" spans="1:15" x14ac:dyDescent="0.3">
      <c r="A688">
        <v>1687</v>
      </c>
      <c r="B688" t="s">
        <v>162</v>
      </c>
      <c r="C688" t="s">
        <v>14</v>
      </c>
      <c r="D688" t="s">
        <v>26</v>
      </c>
      <c r="E688" t="s">
        <v>16</v>
      </c>
      <c r="F688" t="s">
        <v>17</v>
      </c>
      <c r="G688">
        <v>7</v>
      </c>
      <c r="H688">
        <v>221</v>
      </c>
      <c r="I688">
        <v>1547</v>
      </c>
      <c r="J688">
        <v>974</v>
      </c>
      <c r="K688">
        <v>573</v>
      </c>
      <c r="L688" t="s">
        <v>28</v>
      </c>
      <c r="M688" t="s">
        <v>29</v>
      </c>
      <c r="N688" t="str">
        <f>IF(SalesTbl[[#This Row],[Profit]]&gt;180,"High Profit","Low Profit")</f>
        <v>High Profit</v>
      </c>
      <c r="O688" t="str">
        <f>TEXT(SalesTbl[[#This Row],[Date]],"mmm")</f>
        <v>Apr</v>
      </c>
    </row>
    <row r="689" spans="1:15" x14ac:dyDescent="0.3">
      <c r="A689">
        <v>1688</v>
      </c>
      <c r="B689" t="s">
        <v>195</v>
      </c>
      <c r="C689" t="s">
        <v>14</v>
      </c>
      <c r="D689" t="s">
        <v>32</v>
      </c>
      <c r="E689" t="s">
        <v>16</v>
      </c>
      <c r="F689" t="s">
        <v>17</v>
      </c>
      <c r="G689">
        <v>3</v>
      </c>
      <c r="H689">
        <v>416</v>
      </c>
      <c r="I689">
        <v>1248</v>
      </c>
      <c r="J689">
        <v>898</v>
      </c>
      <c r="K689">
        <v>350</v>
      </c>
      <c r="L689" t="s">
        <v>18</v>
      </c>
      <c r="M689" t="s">
        <v>29</v>
      </c>
      <c r="N689" t="str">
        <f>IF(SalesTbl[[#This Row],[Profit]]&gt;180,"High Profit","Low Profit")</f>
        <v>High Profit</v>
      </c>
      <c r="O689" t="str">
        <f>TEXT(SalesTbl[[#This Row],[Date]],"mmm")</f>
        <v>Feb</v>
      </c>
    </row>
    <row r="690" spans="1:15" x14ac:dyDescent="0.3">
      <c r="A690">
        <v>1689</v>
      </c>
      <c r="B690" t="s">
        <v>172</v>
      </c>
      <c r="C690" t="s">
        <v>31</v>
      </c>
      <c r="D690" t="s">
        <v>15</v>
      </c>
      <c r="E690" t="s">
        <v>16</v>
      </c>
      <c r="F690" t="s">
        <v>17</v>
      </c>
      <c r="G690">
        <v>8</v>
      </c>
      <c r="H690">
        <v>510</v>
      </c>
      <c r="I690">
        <v>4080</v>
      </c>
      <c r="J690">
        <v>2856</v>
      </c>
      <c r="K690">
        <v>1224</v>
      </c>
      <c r="L690" t="s">
        <v>33</v>
      </c>
      <c r="M690" t="s">
        <v>19</v>
      </c>
      <c r="N690" t="str">
        <f>IF(SalesTbl[[#This Row],[Profit]]&gt;180,"High Profit","Low Profit")</f>
        <v>High Profit</v>
      </c>
      <c r="O690" t="str">
        <f>TEXT(SalesTbl[[#This Row],[Date]],"mmm")</f>
        <v>Mar</v>
      </c>
    </row>
    <row r="691" spans="1:15" x14ac:dyDescent="0.3">
      <c r="A691">
        <v>1690</v>
      </c>
      <c r="B691" t="s">
        <v>151</v>
      </c>
      <c r="C691" t="s">
        <v>40</v>
      </c>
      <c r="D691" t="s">
        <v>32</v>
      </c>
      <c r="E691" t="s">
        <v>22</v>
      </c>
      <c r="F691" t="s">
        <v>23</v>
      </c>
      <c r="G691">
        <v>9</v>
      </c>
      <c r="H691">
        <v>592</v>
      </c>
      <c r="I691">
        <v>5328</v>
      </c>
      <c r="J691">
        <v>3196</v>
      </c>
      <c r="K691">
        <v>2132</v>
      </c>
      <c r="L691" t="s">
        <v>38</v>
      </c>
      <c r="M691" t="s">
        <v>29</v>
      </c>
      <c r="N691" t="str">
        <f>IF(SalesTbl[[#This Row],[Profit]]&gt;180,"High Profit","Low Profit")</f>
        <v>High Profit</v>
      </c>
      <c r="O691" t="str">
        <f>TEXT(SalesTbl[[#This Row],[Date]],"mmm")</f>
        <v>Jan</v>
      </c>
    </row>
    <row r="692" spans="1:15" x14ac:dyDescent="0.3">
      <c r="A692">
        <v>1691</v>
      </c>
      <c r="B692" t="s">
        <v>62</v>
      </c>
      <c r="C692" t="s">
        <v>31</v>
      </c>
      <c r="D692" t="s">
        <v>35</v>
      </c>
      <c r="E692" t="s">
        <v>16</v>
      </c>
      <c r="F692" t="s">
        <v>17</v>
      </c>
      <c r="G692">
        <v>2</v>
      </c>
      <c r="H692">
        <v>833</v>
      </c>
      <c r="I692">
        <v>1666</v>
      </c>
      <c r="J692">
        <v>1332</v>
      </c>
      <c r="K692">
        <v>334</v>
      </c>
      <c r="L692" t="s">
        <v>28</v>
      </c>
      <c r="M692" t="s">
        <v>19</v>
      </c>
      <c r="N692" t="str">
        <f>IF(SalesTbl[[#This Row],[Profit]]&gt;180,"High Profit","Low Profit")</f>
        <v>High Profit</v>
      </c>
      <c r="O692" t="str">
        <f>TEXT(SalesTbl[[#This Row],[Date]],"mmm")</f>
        <v>May</v>
      </c>
    </row>
    <row r="693" spans="1:15" x14ac:dyDescent="0.3">
      <c r="A693">
        <v>1692</v>
      </c>
      <c r="B693" t="s">
        <v>108</v>
      </c>
      <c r="C693" t="s">
        <v>40</v>
      </c>
      <c r="D693" t="s">
        <v>15</v>
      </c>
      <c r="E693" t="s">
        <v>48</v>
      </c>
      <c r="F693" t="s">
        <v>23</v>
      </c>
      <c r="G693">
        <v>2</v>
      </c>
      <c r="H693">
        <v>338</v>
      </c>
      <c r="I693">
        <v>676</v>
      </c>
      <c r="J693">
        <v>432</v>
      </c>
      <c r="K693">
        <v>244</v>
      </c>
      <c r="L693" t="s">
        <v>33</v>
      </c>
      <c r="M693" t="s">
        <v>19</v>
      </c>
      <c r="N693" t="str">
        <f>IF(SalesTbl[[#This Row],[Profit]]&gt;180,"High Profit","Low Profit")</f>
        <v>High Profit</v>
      </c>
      <c r="O693" t="str">
        <f>TEXT(SalesTbl[[#This Row],[Date]],"mmm")</f>
        <v>Apr</v>
      </c>
    </row>
    <row r="694" spans="1:15" x14ac:dyDescent="0.3">
      <c r="A694">
        <v>1693</v>
      </c>
      <c r="B694" t="s">
        <v>112</v>
      </c>
      <c r="C694" t="s">
        <v>31</v>
      </c>
      <c r="D694" t="s">
        <v>35</v>
      </c>
      <c r="E694" t="s">
        <v>54</v>
      </c>
      <c r="F694" t="s">
        <v>17</v>
      </c>
      <c r="G694">
        <v>1</v>
      </c>
      <c r="H694">
        <v>502</v>
      </c>
      <c r="I694">
        <v>502</v>
      </c>
      <c r="J694">
        <v>361</v>
      </c>
      <c r="K694">
        <v>141</v>
      </c>
      <c r="L694" t="s">
        <v>24</v>
      </c>
      <c r="M694" t="s">
        <v>19</v>
      </c>
      <c r="N694" t="str">
        <f>IF(SalesTbl[[#This Row],[Profit]]&gt;180,"High Profit","Low Profit")</f>
        <v>Low Profit</v>
      </c>
      <c r="O694" t="str">
        <f>TEXT(SalesTbl[[#This Row],[Date]],"mmm")</f>
        <v>Jun</v>
      </c>
    </row>
    <row r="695" spans="1:15" x14ac:dyDescent="0.3">
      <c r="A695">
        <v>1694</v>
      </c>
      <c r="B695" t="s">
        <v>153</v>
      </c>
      <c r="C695" t="s">
        <v>31</v>
      </c>
      <c r="D695" t="s">
        <v>32</v>
      </c>
      <c r="E695" t="s">
        <v>41</v>
      </c>
      <c r="F695" t="s">
        <v>17</v>
      </c>
      <c r="G695">
        <v>2</v>
      </c>
      <c r="H695">
        <v>677</v>
      </c>
      <c r="I695">
        <v>1354</v>
      </c>
      <c r="J695">
        <v>907</v>
      </c>
      <c r="K695">
        <v>447</v>
      </c>
      <c r="L695" t="s">
        <v>28</v>
      </c>
      <c r="M695" t="s">
        <v>19</v>
      </c>
      <c r="N695" t="str">
        <f>IF(SalesTbl[[#This Row],[Profit]]&gt;180,"High Profit","Low Profit")</f>
        <v>High Profit</v>
      </c>
      <c r="O695" t="str">
        <f>TEXT(SalesTbl[[#This Row],[Date]],"mmm")</f>
        <v>Mar</v>
      </c>
    </row>
    <row r="696" spans="1:15" x14ac:dyDescent="0.3">
      <c r="A696">
        <v>1695</v>
      </c>
      <c r="B696" t="s">
        <v>176</v>
      </c>
      <c r="C696" t="s">
        <v>14</v>
      </c>
      <c r="D696" t="s">
        <v>15</v>
      </c>
      <c r="E696" t="s">
        <v>16</v>
      </c>
      <c r="F696" t="s">
        <v>17</v>
      </c>
      <c r="G696">
        <v>8</v>
      </c>
      <c r="H696">
        <v>714</v>
      </c>
      <c r="I696">
        <v>5712</v>
      </c>
      <c r="J696">
        <v>4512</v>
      </c>
      <c r="K696">
        <v>1200</v>
      </c>
      <c r="L696" t="s">
        <v>18</v>
      </c>
      <c r="M696" t="s">
        <v>19</v>
      </c>
      <c r="N696" t="str">
        <f>IF(SalesTbl[[#This Row],[Profit]]&gt;180,"High Profit","Low Profit")</f>
        <v>High Profit</v>
      </c>
      <c r="O696" t="str">
        <f>TEXT(SalesTbl[[#This Row],[Date]],"mmm")</f>
        <v>Jan</v>
      </c>
    </row>
    <row r="697" spans="1:15" x14ac:dyDescent="0.3">
      <c r="A697">
        <v>1696</v>
      </c>
      <c r="B697" t="s">
        <v>57</v>
      </c>
      <c r="C697" t="s">
        <v>31</v>
      </c>
      <c r="D697" t="s">
        <v>35</v>
      </c>
      <c r="E697" t="s">
        <v>16</v>
      </c>
      <c r="F697" t="s">
        <v>17</v>
      </c>
      <c r="G697">
        <v>7</v>
      </c>
      <c r="H697">
        <v>829</v>
      </c>
      <c r="I697">
        <v>5803</v>
      </c>
      <c r="J697">
        <v>4236</v>
      </c>
      <c r="K697">
        <v>1567</v>
      </c>
      <c r="L697" t="s">
        <v>33</v>
      </c>
      <c r="M697" t="s">
        <v>19</v>
      </c>
      <c r="N697" t="str">
        <f>IF(SalesTbl[[#This Row],[Profit]]&gt;180,"High Profit","Low Profit")</f>
        <v>High Profit</v>
      </c>
      <c r="O697" t="str">
        <f>TEXT(SalesTbl[[#This Row],[Date]],"mmm")</f>
        <v>Apr</v>
      </c>
    </row>
    <row r="698" spans="1:15" x14ac:dyDescent="0.3">
      <c r="A698">
        <v>1697</v>
      </c>
      <c r="B698" t="s">
        <v>88</v>
      </c>
      <c r="C698" t="s">
        <v>21</v>
      </c>
      <c r="D698" t="s">
        <v>32</v>
      </c>
      <c r="E698" t="s">
        <v>54</v>
      </c>
      <c r="F698" t="s">
        <v>17</v>
      </c>
      <c r="G698">
        <v>5</v>
      </c>
      <c r="H698">
        <v>268</v>
      </c>
      <c r="I698">
        <v>1340</v>
      </c>
      <c r="J698">
        <v>1058</v>
      </c>
      <c r="K698">
        <v>282</v>
      </c>
      <c r="L698" t="s">
        <v>33</v>
      </c>
      <c r="M698" t="s">
        <v>19</v>
      </c>
      <c r="N698" t="str">
        <f>IF(SalesTbl[[#This Row],[Profit]]&gt;180,"High Profit","Low Profit")</f>
        <v>High Profit</v>
      </c>
      <c r="O698" t="str">
        <f>TEXT(SalesTbl[[#This Row],[Date]],"mmm")</f>
        <v>Feb</v>
      </c>
    </row>
    <row r="699" spans="1:15" x14ac:dyDescent="0.3">
      <c r="A699">
        <v>1037</v>
      </c>
      <c r="B699" t="s">
        <v>68</v>
      </c>
      <c r="C699" t="s">
        <v>40</v>
      </c>
      <c r="D699" t="s">
        <v>32</v>
      </c>
      <c r="E699" t="s">
        <v>27</v>
      </c>
      <c r="F699" t="s">
        <v>17</v>
      </c>
      <c r="G699">
        <v>6</v>
      </c>
      <c r="H699">
        <v>215</v>
      </c>
      <c r="I699">
        <v>1290</v>
      </c>
      <c r="J699">
        <v>903</v>
      </c>
      <c r="K699">
        <v>387</v>
      </c>
      <c r="L699" t="s">
        <v>33</v>
      </c>
      <c r="M699" t="s">
        <v>29</v>
      </c>
      <c r="N699" t="str">
        <f>IF(SalesTbl[[#This Row],[Profit]]&gt;180,"High Profit","Low Profit")</f>
        <v>High Profit</v>
      </c>
      <c r="O699" t="str">
        <f>TEXT(SalesTbl[[#This Row],[Date]],"mmm")</f>
        <v>Apr</v>
      </c>
    </row>
    <row r="700" spans="1:15" x14ac:dyDescent="0.3">
      <c r="A700">
        <v>1699</v>
      </c>
      <c r="B700" t="s">
        <v>115</v>
      </c>
      <c r="C700" t="s">
        <v>21</v>
      </c>
      <c r="D700" t="s">
        <v>35</v>
      </c>
      <c r="E700" t="s">
        <v>41</v>
      </c>
      <c r="F700" t="s">
        <v>17</v>
      </c>
      <c r="G700">
        <v>7</v>
      </c>
      <c r="H700">
        <v>249</v>
      </c>
      <c r="I700">
        <v>1743</v>
      </c>
      <c r="J700">
        <v>1272</v>
      </c>
      <c r="K700">
        <v>471</v>
      </c>
      <c r="L700" t="s">
        <v>24</v>
      </c>
      <c r="M700" t="s">
        <v>29</v>
      </c>
      <c r="N700" t="str">
        <f>IF(SalesTbl[[#This Row],[Profit]]&gt;180,"High Profit","Low Profit")</f>
        <v>High Profit</v>
      </c>
      <c r="O700" t="str">
        <f>TEXT(SalesTbl[[#This Row],[Date]],"mmm")</f>
        <v>Jun</v>
      </c>
    </row>
    <row r="701" spans="1:15" x14ac:dyDescent="0.3">
      <c r="A701">
        <v>1700</v>
      </c>
      <c r="B701" t="s">
        <v>80</v>
      </c>
      <c r="C701" t="s">
        <v>14</v>
      </c>
      <c r="D701" t="s">
        <v>35</v>
      </c>
      <c r="E701" t="s">
        <v>41</v>
      </c>
      <c r="F701" t="s">
        <v>17</v>
      </c>
      <c r="G701">
        <v>9</v>
      </c>
      <c r="H701">
        <v>340</v>
      </c>
      <c r="I701">
        <v>3060</v>
      </c>
      <c r="J701">
        <v>2080</v>
      </c>
      <c r="K701">
        <v>980</v>
      </c>
      <c r="L701" t="s">
        <v>24</v>
      </c>
      <c r="M701" t="s">
        <v>29</v>
      </c>
      <c r="N701" t="str">
        <f>IF(SalesTbl[[#This Row],[Profit]]&gt;180,"High Profit","Low Profit")</f>
        <v>High Profit</v>
      </c>
      <c r="O701" t="str">
        <f>TEXT(SalesTbl[[#This Row],[Date]],"mmm")</f>
        <v>Apr</v>
      </c>
    </row>
    <row r="702" spans="1:15" x14ac:dyDescent="0.3">
      <c r="A702">
        <v>1701</v>
      </c>
      <c r="B702" t="s">
        <v>210</v>
      </c>
      <c r="C702" t="s">
        <v>31</v>
      </c>
      <c r="D702" t="s">
        <v>32</v>
      </c>
      <c r="E702" t="s">
        <v>16</v>
      </c>
      <c r="F702" t="s">
        <v>17</v>
      </c>
      <c r="G702">
        <v>2</v>
      </c>
      <c r="H702">
        <v>613</v>
      </c>
      <c r="I702">
        <v>1226</v>
      </c>
      <c r="J702">
        <v>809</v>
      </c>
      <c r="K702">
        <v>417</v>
      </c>
      <c r="L702" t="s">
        <v>28</v>
      </c>
      <c r="M702" t="s">
        <v>19</v>
      </c>
      <c r="N702" t="str">
        <f>IF(SalesTbl[[#This Row],[Profit]]&gt;180,"High Profit","Low Profit")</f>
        <v>High Profit</v>
      </c>
      <c r="O702" t="str">
        <f>TEXT(SalesTbl[[#This Row],[Date]],"mmm")</f>
        <v>Apr</v>
      </c>
    </row>
    <row r="703" spans="1:15" x14ac:dyDescent="0.3">
      <c r="A703">
        <v>1702</v>
      </c>
      <c r="B703" t="s">
        <v>157</v>
      </c>
      <c r="C703" t="s">
        <v>21</v>
      </c>
      <c r="D703" t="s">
        <v>15</v>
      </c>
      <c r="E703" t="s">
        <v>27</v>
      </c>
      <c r="F703" t="s">
        <v>17</v>
      </c>
      <c r="G703">
        <v>7</v>
      </c>
      <c r="H703">
        <v>922</v>
      </c>
      <c r="I703">
        <v>6454</v>
      </c>
      <c r="J703">
        <v>4969</v>
      </c>
      <c r="K703">
        <v>1485</v>
      </c>
      <c r="L703" t="s">
        <v>33</v>
      </c>
      <c r="M703" t="s">
        <v>19</v>
      </c>
      <c r="N703" t="str">
        <f>IF(SalesTbl[[#This Row],[Profit]]&gt;180,"High Profit","Low Profit")</f>
        <v>High Profit</v>
      </c>
      <c r="O703" t="str">
        <f>TEXT(SalesTbl[[#This Row],[Date]],"mmm")</f>
        <v>Feb</v>
      </c>
    </row>
    <row r="704" spans="1:15" x14ac:dyDescent="0.3">
      <c r="A704">
        <v>2000</v>
      </c>
      <c r="B704" t="s">
        <v>156</v>
      </c>
      <c r="C704" t="s">
        <v>40</v>
      </c>
      <c r="D704" t="s">
        <v>15</v>
      </c>
      <c r="E704" t="s">
        <v>54</v>
      </c>
      <c r="F704" t="s">
        <v>17</v>
      </c>
      <c r="G704">
        <v>4</v>
      </c>
      <c r="H704">
        <v>271</v>
      </c>
      <c r="I704">
        <v>1084</v>
      </c>
      <c r="J704">
        <v>704</v>
      </c>
      <c r="K704">
        <v>380</v>
      </c>
      <c r="L704" t="s">
        <v>33</v>
      </c>
      <c r="M704" t="s">
        <v>29</v>
      </c>
      <c r="N704" t="str">
        <f>IF(SalesTbl[[#This Row],[Profit]]&gt;180,"High Profit","Low Profit")</f>
        <v>High Profit</v>
      </c>
      <c r="O704" t="str">
        <f>TEXT(SalesTbl[[#This Row],[Date]],"mmm")</f>
        <v>Feb</v>
      </c>
    </row>
    <row r="705" spans="1:15" x14ac:dyDescent="0.3">
      <c r="A705">
        <v>1704</v>
      </c>
      <c r="B705" t="s">
        <v>177</v>
      </c>
      <c r="C705" t="s">
        <v>31</v>
      </c>
      <c r="D705" t="s">
        <v>15</v>
      </c>
      <c r="E705" t="s">
        <v>54</v>
      </c>
      <c r="F705" t="s">
        <v>17</v>
      </c>
      <c r="G705">
        <v>4</v>
      </c>
      <c r="H705">
        <v>138</v>
      </c>
      <c r="I705">
        <v>552</v>
      </c>
      <c r="J705">
        <v>364</v>
      </c>
      <c r="K705">
        <v>188</v>
      </c>
      <c r="L705" t="s">
        <v>28</v>
      </c>
      <c r="M705" t="s">
        <v>29</v>
      </c>
      <c r="N705" t="str">
        <f>IF(SalesTbl[[#This Row],[Profit]]&gt;180,"High Profit","Low Profit")</f>
        <v>High Profit</v>
      </c>
      <c r="O705" t="str">
        <f>TEXT(SalesTbl[[#This Row],[Date]],"mmm")</f>
        <v>Feb</v>
      </c>
    </row>
    <row r="706" spans="1:15" x14ac:dyDescent="0.3">
      <c r="A706">
        <v>1741</v>
      </c>
      <c r="B706" t="s">
        <v>82</v>
      </c>
      <c r="C706" t="s">
        <v>40</v>
      </c>
      <c r="D706" t="s">
        <v>26</v>
      </c>
      <c r="E706" t="s">
        <v>54</v>
      </c>
      <c r="F706" t="s">
        <v>17</v>
      </c>
      <c r="G706">
        <v>2</v>
      </c>
      <c r="H706">
        <v>608</v>
      </c>
      <c r="I706">
        <v>1216</v>
      </c>
      <c r="J706">
        <v>839</v>
      </c>
      <c r="K706">
        <v>377</v>
      </c>
      <c r="L706" t="s">
        <v>24</v>
      </c>
      <c r="M706" t="s">
        <v>19</v>
      </c>
      <c r="N706" t="str">
        <f>IF(SalesTbl[[#This Row],[Profit]]&gt;180,"High Profit","Low Profit")</f>
        <v>High Profit</v>
      </c>
      <c r="O706" t="str">
        <f>TEXT(SalesTbl[[#This Row],[Date]],"mmm")</f>
        <v>Jan</v>
      </c>
    </row>
    <row r="707" spans="1:15" x14ac:dyDescent="0.3">
      <c r="A707">
        <v>1706</v>
      </c>
      <c r="B707" t="s">
        <v>165</v>
      </c>
      <c r="C707" t="s">
        <v>14</v>
      </c>
      <c r="D707" t="s">
        <v>32</v>
      </c>
      <c r="E707" t="s">
        <v>16</v>
      </c>
      <c r="F707" t="s">
        <v>17</v>
      </c>
      <c r="G707">
        <v>4</v>
      </c>
      <c r="H707">
        <v>285</v>
      </c>
      <c r="I707">
        <v>1140</v>
      </c>
      <c r="J707">
        <v>695</v>
      </c>
      <c r="K707">
        <v>445</v>
      </c>
      <c r="L707" t="s">
        <v>18</v>
      </c>
      <c r="M707" t="s">
        <v>19</v>
      </c>
      <c r="N707" t="str">
        <f>IF(SalesTbl[[#This Row],[Profit]]&gt;180,"High Profit","Low Profit")</f>
        <v>High Profit</v>
      </c>
      <c r="O707" t="str">
        <f>TEXT(SalesTbl[[#This Row],[Date]],"mmm")</f>
        <v>Mar</v>
      </c>
    </row>
    <row r="708" spans="1:15" x14ac:dyDescent="0.3">
      <c r="A708">
        <v>1707</v>
      </c>
      <c r="B708" t="s">
        <v>134</v>
      </c>
      <c r="C708" t="s">
        <v>21</v>
      </c>
      <c r="D708" t="s">
        <v>32</v>
      </c>
      <c r="E708" t="s">
        <v>16</v>
      </c>
      <c r="F708" t="s">
        <v>17</v>
      </c>
      <c r="G708">
        <v>5</v>
      </c>
      <c r="H708">
        <v>533</v>
      </c>
      <c r="I708">
        <v>2665</v>
      </c>
      <c r="J708">
        <v>1892</v>
      </c>
      <c r="K708">
        <v>773</v>
      </c>
      <c r="L708" t="s">
        <v>24</v>
      </c>
      <c r="M708" t="s">
        <v>29</v>
      </c>
      <c r="N708" t="str">
        <f>IF(SalesTbl[[#This Row],[Profit]]&gt;180,"High Profit","Low Profit")</f>
        <v>High Profit</v>
      </c>
      <c r="O708" t="str">
        <f>TEXT(SalesTbl[[#This Row],[Date]],"mmm")</f>
        <v>Jan</v>
      </c>
    </row>
    <row r="709" spans="1:15" x14ac:dyDescent="0.3">
      <c r="A709">
        <v>1708</v>
      </c>
      <c r="B709" t="s">
        <v>56</v>
      </c>
      <c r="C709" t="s">
        <v>21</v>
      </c>
      <c r="D709" t="s">
        <v>32</v>
      </c>
      <c r="E709" t="s">
        <v>22</v>
      </c>
      <c r="F709" t="s">
        <v>23</v>
      </c>
      <c r="G709">
        <v>9</v>
      </c>
      <c r="H709">
        <v>415</v>
      </c>
      <c r="I709">
        <v>3735</v>
      </c>
      <c r="J709">
        <v>2278</v>
      </c>
      <c r="K709">
        <v>1457</v>
      </c>
      <c r="L709" t="s">
        <v>38</v>
      </c>
      <c r="M709" t="s">
        <v>29</v>
      </c>
      <c r="N709" t="str">
        <f>IF(SalesTbl[[#This Row],[Profit]]&gt;180,"High Profit","Low Profit")</f>
        <v>High Profit</v>
      </c>
      <c r="O709" t="str">
        <f>TEXT(SalesTbl[[#This Row],[Date]],"mmm")</f>
        <v>Jan</v>
      </c>
    </row>
    <row r="710" spans="1:15" x14ac:dyDescent="0.3">
      <c r="A710">
        <v>1709</v>
      </c>
      <c r="B710" t="s">
        <v>168</v>
      </c>
      <c r="C710" t="s">
        <v>40</v>
      </c>
      <c r="D710" t="s">
        <v>32</v>
      </c>
      <c r="E710" t="s">
        <v>48</v>
      </c>
      <c r="F710" t="s">
        <v>23</v>
      </c>
      <c r="G710">
        <v>9</v>
      </c>
      <c r="H710">
        <v>401</v>
      </c>
      <c r="I710">
        <v>3609</v>
      </c>
      <c r="J710">
        <v>2851</v>
      </c>
      <c r="K710">
        <v>758</v>
      </c>
      <c r="L710" t="s">
        <v>33</v>
      </c>
      <c r="M710" t="s">
        <v>19</v>
      </c>
      <c r="N710" t="str">
        <f>IF(SalesTbl[[#This Row],[Profit]]&gt;180,"High Profit","Low Profit")</f>
        <v>High Profit</v>
      </c>
      <c r="O710" t="str">
        <f>TEXT(SalesTbl[[#This Row],[Date]],"mmm")</f>
        <v>Mar</v>
      </c>
    </row>
    <row r="711" spans="1:15" x14ac:dyDescent="0.3">
      <c r="A711">
        <v>1710</v>
      </c>
      <c r="B711" t="s">
        <v>170</v>
      </c>
      <c r="C711" t="s">
        <v>14</v>
      </c>
      <c r="D711" t="s">
        <v>35</v>
      </c>
      <c r="E711" t="s">
        <v>16</v>
      </c>
      <c r="F711" t="s">
        <v>17</v>
      </c>
      <c r="G711">
        <v>10</v>
      </c>
      <c r="H711">
        <v>244</v>
      </c>
      <c r="I711">
        <v>2440</v>
      </c>
      <c r="J711">
        <v>1561</v>
      </c>
      <c r="K711">
        <v>879</v>
      </c>
      <c r="L711" t="s">
        <v>24</v>
      </c>
      <c r="M711" t="s">
        <v>29</v>
      </c>
      <c r="N711" t="str">
        <f>IF(SalesTbl[[#This Row],[Profit]]&gt;180,"High Profit","Low Profit")</f>
        <v>High Profit</v>
      </c>
      <c r="O711" t="str">
        <f>TEXT(SalesTbl[[#This Row],[Date]],"mmm")</f>
        <v>Jan</v>
      </c>
    </row>
    <row r="712" spans="1:15" x14ac:dyDescent="0.3">
      <c r="A712">
        <v>1711</v>
      </c>
      <c r="B712" t="s">
        <v>171</v>
      </c>
      <c r="C712" t="s">
        <v>21</v>
      </c>
      <c r="D712" t="s">
        <v>35</v>
      </c>
      <c r="E712" t="s">
        <v>41</v>
      </c>
      <c r="F712" t="s">
        <v>17</v>
      </c>
      <c r="G712">
        <v>5</v>
      </c>
      <c r="H712">
        <v>983</v>
      </c>
      <c r="I712">
        <v>4915</v>
      </c>
      <c r="J712">
        <v>3391</v>
      </c>
      <c r="K712">
        <v>1524</v>
      </c>
      <c r="L712" t="s">
        <v>33</v>
      </c>
      <c r="M712" t="s">
        <v>29</v>
      </c>
      <c r="N712" t="str">
        <f>IF(SalesTbl[[#This Row],[Profit]]&gt;180,"High Profit","Low Profit")</f>
        <v>High Profit</v>
      </c>
      <c r="O712" t="str">
        <f>TEXT(SalesTbl[[#This Row],[Date]],"mmm")</f>
        <v>Apr</v>
      </c>
    </row>
    <row r="713" spans="1:15" x14ac:dyDescent="0.3">
      <c r="A713">
        <v>1712</v>
      </c>
      <c r="B713" t="s">
        <v>168</v>
      </c>
      <c r="C713" t="s">
        <v>40</v>
      </c>
      <c r="D713" t="s">
        <v>26</v>
      </c>
      <c r="E713" t="s">
        <v>48</v>
      </c>
      <c r="F713" t="s">
        <v>23</v>
      </c>
      <c r="G713">
        <v>3</v>
      </c>
      <c r="H713">
        <v>600</v>
      </c>
      <c r="I713">
        <v>1800</v>
      </c>
      <c r="J713">
        <v>1404</v>
      </c>
      <c r="K713">
        <v>396</v>
      </c>
      <c r="L713" t="s">
        <v>28</v>
      </c>
      <c r="M713" t="s">
        <v>19</v>
      </c>
      <c r="N713" t="str">
        <f>IF(SalesTbl[[#This Row],[Profit]]&gt;180,"High Profit","Low Profit")</f>
        <v>High Profit</v>
      </c>
      <c r="O713" t="str">
        <f>TEXT(SalesTbl[[#This Row],[Date]],"mmm")</f>
        <v>Mar</v>
      </c>
    </row>
    <row r="714" spans="1:15" x14ac:dyDescent="0.3">
      <c r="A714">
        <v>1012</v>
      </c>
      <c r="B714" t="s">
        <v>45</v>
      </c>
      <c r="C714" t="s">
        <v>40</v>
      </c>
      <c r="D714" t="s">
        <v>35</v>
      </c>
      <c r="E714" t="s">
        <v>27</v>
      </c>
      <c r="F714" t="s">
        <v>17</v>
      </c>
      <c r="G714">
        <v>7</v>
      </c>
      <c r="H714">
        <v>201</v>
      </c>
      <c r="I714">
        <v>1407</v>
      </c>
      <c r="J714">
        <v>1041</v>
      </c>
      <c r="K714">
        <v>366</v>
      </c>
      <c r="L714" t="s">
        <v>18</v>
      </c>
      <c r="M714" t="s">
        <v>29</v>
      </c>
      <c r="N714" t="str">
        <f>IF(SalesTbl[[#This Row],[Profit]]&gt;180,"High Profit","Low Profit")</f>
        <v>High Profit</v>
      </c>
      <c r="O714" t="str">
        <f>TEXT(SalesTbl[[#This Row],[Date]],"mmm")</f>
        <v>May</v>
      </c>
    </row>
    <row r="715" spans="1:15" x14ac:dyDescent="0.3">
      <c r="A715">
        <v>1714</v>
      </c>
      <c r="B715" t="s">
        <v>212</v>
      </c>
      <c r="C715" t="s">
        <v>14</v>
      </c>
      <c r="D715" t="s">
        <v>35</v>
      </c>
      <c r="E715" t="s">
        <v>41</v>
      </c>
      <c r="F715" t="s">
        <v>17</v>
      </c>
      <c r="G715">
        <v>10</v>
      </c>
      <c r="H715">
        <v>818</v>
      </c>
      <c r="I715">
        <v>8180</v>
      </c>
      <c r="J715">
        <v>5644</v>
      </c>
      <c r="K715">
        <v>2536</v>
      </c>
      <c r="L715" t="s">
        <v>18</v>
      </c>
      <c r="M715" t="s">
        <v>29</v>
      </c>
      <c r="N715" t="str">
        <f>IF(SalesTbl[[#This Row],[Profit]]&gt;180,"High Profit","Low Profit")</f>
        <v>High Profit</v>
      </c>
      <c r="O715" t="str">
        <f>TEXT(SalesTbl[[#This Row],[Date]],"mmm")</f>
        <v>Mar</v>
      </c>
    </row>
    <row r="716" spans="1:15" x14ac:dyDescent="0.3">
      <c r="A716">
        <v>1715</v>
      </c>
      <c r="B716" t="s">
        <v>59</v>
      </c>
      <c r="C716" t="s">
        <v>14</v>
      </c>
      <c r="D716" t="s">
        <v>26</v>
      </c>
      <c r="E716" t="s">
        <v>41</v>
      </c>
      <c r="F716" t="s">
        <v>17</v>
      </c>
      <c r="G716">
        <v>8</v>
      </c>
      <c r="H716">
        <v>813</v>
      </c>
      <c r="I716">
        <v>6504</v>
      </c>
      <c r="J716">
        <v>5073</v>
      </c>
      <c r="K716">
        <v>1431</v>
      </c>
      <c r="L716" t="s">
        <v>18</v>
      </c>
      <c r="M716" t="s">
        <v>29</v>
      </c>
      <c r="N716" t="str">
        <f>IF(SalesTbl[[#This Row],[Profit]]&gt;180,"High Profit","Low Profit")</f>
        <v>High Profit</v>
      </c>
      <c r="O716" t="str">
        <f>TEXT(SalesTbl[[#This Row],[Date]],"mmm")</f>
        <v>Jun</v>
      </c>
    </row>
    <row r="717" spans="1:15" x14ac:dyDescent="0.3">
      <c r="A717">
        <v>1716</v>
      </c>
      <c r="B717" t="s">
        <v>118</v>
      </c>
      <c r="C717" t="s">
        <v>21</v>
      </c>
      <c r="D717" t="s">
        <v>15</v>
      </c>
      <c r="E717" t="s">
        <v>22</v>
      </c>
      <c r="F717" t="s">
        <v>23</v>
      </c>
      <c r="G717">
        <v>7</v>
      </c>
      <c r="H717">
        <v>235</v>
      </c>
      <c r="I717">
        <v>1645</v>
      </c>
      <c r="J717">
        <v>1217</v>
      </c>
      <c r="K717">
        <v>428</v>
      </c>
      <c r="L717" t="s">
        <v>28</v>
      </c>
      <c r="M717" t="s">
        <v>19</v>
      </c>
      <c r="N717" t="str">
        <f>IF(SalesTbl[[#This Row],[Profit]]&gt;180,"High Profit","Low Profit")</f>
        <v>High Profit</v>
      </c>
      <c r="O717" t="str">
        <f>TEXT(SalesTbl[[#This Row],[Date]],"mmm")</f>
        <v>Jun</v>
      </c>
    </row>
    <row r="718" spans="1:15" x14ac:dyDescent="0.3">
      <c r="A718">
        <v>1355</v>
      </c>
      <c r="B718" t="s">
        <v>120</v>
      </c>
      <c r="C718" t="s">
        <v>40</v>
      </c>
      <c r="D718" t="s">
        <v>35</v>
      </c>
      <c r="E718" t="s">
        <v>27</v>
      </c>
      <c r="F718" t="s">
        <v>17</v>
      </c>
      <c r="G718">
        <v>3</v>
      </c>
      <c r="H718">
        <v>389</v>
      </c>
      <c r="I718">
        <v>1167</v>
      </c>
      <c r="J718">
        <v>805</v>
      </c>
      <c r="K718">
        <v>362</v>
      </c>
      <c r="L718" t="s">
        <v>18</v>
      </c>
      <c r="M718" t="s">
        <v>29</v>
      </c>
      <c r="N718" t="str">
        <f>IF(SalesTbl[[#This Row],[Profit]]&gt;180,"High Profit","Low Profit")</f>
        <v>High Profit</v>
      </c>
      <c r="O718" t="str">
        <f>TEXT(SalesTbl[[#This Row],[Date]],"mmm")</f>
        <v>Jan</v>
      </c>
    </row>
    <row r="719" spans="1:15" x14ac:dyDescent="0.3">
      <c r="A719">
        <v>1718</v>
      </c>
      <c r="B719" t="s">
        <v>133</v>
      </c>
      <c r="C719" t="s">
        <v>31</v>
      </c>
      <c r="D719" t="s">
        <v>15</v>
      </c>
      <c r="E719" t="s">
        <v>27</v>
      </c>
      <c r="F719" t="s">
        <v>17</v>
      </c>
      <c r="G719">
        <v>9</v>
      </c>
      <c r="H719">
        <v>125</v>
      </c>
      <c r="I719">
        <v>1125</v>
      </c>
      <c r="J719">
        <v>708</v>
      </c>
      <c r="K719">
        <v>417</v>
      </c>
      <c r="L719" t="s">
        <v>28</v>
      </c>
      <c r="M719" t="s">
        <v>19</v>
      </c>
      <c r="N719" t="str">
        <f>IF(SalesTbl[[#This Row],[Profit]]&gt;180,"High Profit","Low Profit")</f>
        <v>High Profit</v>
      </c>
      <c r="O719" t="str">
        <f>TEXT(SalesTbl[[#This Row],[Date]],"mmm")</f>
        <v>May</v>
      </c>
    </row>
    <row r="720" spans="1:15" x14ac:dyDescent="0.3">
      <c r="A720">
        <v>1719</v>
      </c>
      <c r="B720" t="s">
        <v>181</v>
      </c>
      <c r="C720" t="s">
        <v>14</v>
      </c>
      <c r="D720" t="s">
        <v>15</v>
      </c>
      <c r="E720" t="s">
        <v>41</v>
      </c>
      <c r="F720" t="s">
        <v>17</v>
      </c>
      <c r="G720">
        <v>10</v>
      </c>
      <c r="H720">
        <v>599</v>
      </c>
      <c r="I720">
        <v>5990</v>
      </c>
      <c r="J720">
        <v>4312</v>
      </c>
      <c r="K720">
        <v>1678</v>
      </c>
      <c r="L720" t="s">
        <v>33</v>
      </c>
      <c r="M720" t="s">
        <v>29</v>
      </c>
      <c r="N720" t="str">
        <f>IF(SalesTbl[[#This Row],[Profit]]&gt;180,"High Profit","Low Profit")</f>
        <v>High Profit</v>
      </c>
      <c r="O720" t="str">
        <f>TEXT(SalesTbl[[#This Row],[Date]],"mmm")</f>
        <v>Jan</v>
      </c>
    </row>
    <row r="721" spans="1:15" x14ac:dyDescent="0.3">
      <c r="A721">
        <v>1720</v>
      </c>
      <c r="B721" t="s">
        <v>83</v>
      </c>
      <c r="C721" t="s">
        <v>14</v>
      </c>
      <c r="D721" t="s">
        <v>32</v>
      </c>
      <c r="E721" t="s">
        <v>41</v>
      </c>
      <c r="F721" t="s">
        <v>17</v>
      </c>
      <c r="G721">
        <v>5</v>
      </c>
      <c r="H721">
        <v>844</v>
      </c>
      <c r="I721">
        <v>4220</v>
      </c>
      <c r="J721">
        <v>2743</v>
      </c>
      <c r="K721">
        <v>1477</v>
      </c>
      <c r="L721" t="s">
        <v>38</v>
      </c>
      <c r="M721" t="s">
        <v>29</v>
      </c>
      <c r="N721" t="str">
        <f>IF(SalesTbl[[#This Row],[Profit]]&gt;180,"High Profit","Low Profit")</f>
        <v>High Profit</v>
      </c>
      <c r="O721" t="str">
        <f>TEXT(SalesTbl[[#This Row],[Date]],"mmm")</f>
        <v>Jun</v>
      </c>
    </row>
    <row r="722" spans="1:15" x14ac:dyDescent="0.3">
      <c r="A722">
        <v>1721</v>
      </c>
      <c r="B722" t="s">
        <v>140</v>
      </c>
      <c r="C722" t="s">
        <v>14</v>
      </c>
      <c r="D722" t="s">
        <v>15</v>
      </c>
      <c r="E722" t="s">
        <v>54</v>
      </c>
      <c r="F722" t="s">
        <v>17</v>
      </c>
      <c r="G722">
        <v>1</v>
      </c>
      <c r="H722">
        <v>173</v>
      </c>
      <c r="I722">
        <v>173</v>
      </c>
      <c r="J722">
        <v>128</v>
      </c>
      <c r="K722">
        <v>45</v>
      </c>
      <c r="L722" t="s">
        <v>18</v>
      </c>
      <c r="M722" t="s">
        <v>19</v>
      </c>
      <c r="N722" t="str">
        <f>IF(SalesTbl[[#This Row],[Profit]]&gt;180,"High Profit","Low Profit")</f>
        <v>Low Profit</v>
      </c>
      <c r="O722" t="str">
        <f>TEXT(SalesTbl[[#This Row],[Date]],"mmm")</f>
        <v>May</v>
      </c>
    </row>
    <row r="723" spans="1:15" x14ac:dyDescent="0.3">
      <c r="A723">
        <v>1722</v>
      </c>
      <c r="B723" t="s">
        <v>112</v>
      </c>
      <c r="C723" t="s">
        <v>31</v>
      </c>
      <c r="D723" t="s">
        <v>26</v>
      </c>
      <c r="E723" t="s">
        <v>16</v>
      </c>
      <c r="F723" t="s">
        <v>17</v>
      </c>
      <c r="G723">
        <v>1</v>
      </c>
      <c r="H723">
        <v>428</v>
      </c>
      <c r="I723">
        <v>428</v>
      </c>
      <c r="J723">
        <v>325</v>
      </c>
      <c r="K723">
        <v>103</v>
      </c>
      <c r="L723" t="s">
        <v>18</v>
      </c>
      <c r="M723" t="s">
        <v>19</v>
      </c>
      <c r="N723" t="str">
        <f>IF(SalesTbl[[#This Row],[Profit]]&gt;180,"High Profit","Low Profit")</f>
        <v>Low Profit</v>
      </c>
      <c r="O723" t="str">
        <f>TEXT(SalesTbl[[#This Row],[Date]],"mmm")</f>
        <v>Jun</v>
      </c>
    </row>
    <row r="724" spans="1:15" x14ac:dyDescent="0.3">
      <c r="A724">
        <v>1723</v>
      </c>
      <c r="B724" t="s">
        <v>153</v>
      </c>
      <c r="C724" t="s">
        <v>31</v>
      </c>
      <c r="D724" t="s">
        <v>35</v>
      </c>
      <c r="E724" t="s">
        <v>54</v>
      </c>
      <c r="F724" t="s">
        <v>17</v>
      </c>
      <c r="G724">
        <v>7</v>
      </c>
      <c r="H724">
        <v>951</v>
      </c>
      <c r="I724">
        <v>6657</v>
      </c>
      <c r="J724">
        <v>5325</v>
      </c>
      <c r="K724">
        <v>1332</v>
      </c>
      <c r="L724" t="s">
        <v>38</v>
      </c>
      <c r="M724" t="s">
        <v>19</v>
      </c>
      <c r="N724" t="str">
        <f>IF(SalesTbl[[#This Row],[Profit]]&gt;180,"High Profit","Low Profit")</f>
        <v>High Profit</v>
      </c>
      <c r="O724" t="str">
        <f>TEXT(SalesTbl[[#This Row],[Date]],"mmm")</f>
        <v>Mar</v>
      </c>
    </row>
    <row r="725" spans="1:15" x14ac:dyDescent="0.3">
      <c r="A725">
        <v>1724</v>
      </c>
      <c r="B725" t="s">
        <v>212</v>
      </c>
      <c r="C725" t="s">
        <v>21</v>
      </c>
      <c r="D725" t="s">
        <v>32</v>
      </c>
      <c r="E725" t="s">
        <v>16</v>
      </c>
      <c r="F725" t="s">
        <v>17</v>
      </c>
      <c r="G725">
        <v>2</v>
      </c>
      <c r="H725">
        <v>669</v>
      </c>
      <c r="I725">
        <v>1338</v>
      </c>
      <c r="J725">
        <v>963</v>
      </c>
      <c r="K725">
        <v>375</v>
      </c>
      <c r="L725" t="s">
        <v>24</v>
      </c>
      <c r="M725" t="s">
        <v>29</v>
      </c>
      <c r="N725" t="str">
        <f>IF(SalesTbl[[#This Row],[Profit]]&gt;180,"High Profit","Low Profit")</f>
        <v>High Profit</v>
      </c>
      <c r="O725" t="str">
        <f>TEXT(SalesTbl[[#This Row],[Date]],"mmm")</f>
        <v>Mar</v>
      </c>
    </row>
    <row r="726" spans="1:15" x14ac:dyDescent="0.3">
      <c r="A726">
        <v>1725</v>
      </c>
      <c r="B726" t="s">
        <v>139</v>
      </c>
      <c r="C726" t="s">
        <v>21</v>
      </c>
      <c r="D726" t="s">
        <v>32</v>
      </c>
      <c r="E726" t="s">
        <v>27</v>
      </c>
      <c r="F726" t="s">
        <v>17</v>
      </c>
      <c r="G726">
        <v>1</v>
      </c>
      <c r="H726">
        <v>303</v>
      </c>
      <c r="I726">
        <v>303</v>
      </c>
      <c r="J726">
        <v>236</v>
      </c>
      <c r="K726">
        <v>67</v>
      </c>
      <c r="L726" t="s">
        <v>33</v>
      </c>
      <c r="M726" t="s">
        <v>19</v>
      </c>
      <c r="N726" t="str">
        <f>IF(SalesTbl[[#This Row],[Profit]]&gt;180,"High Profit","Low Profit")</f>
        <v>Low Profit</v>
      </c>
      <c r="O726" t="str">
        <f>TEXT(SalesTbl[[#This Row],[Date]],"mmm")</f>
        <v>Jun</v>
      </c>
    </row>
    <row r="727" spans="1:15" x14ac:dyDescent="0.3">
      <c r="A727">
        <v>1726</v>
      </c>
      <c r="B727" t="s">
        <v>121</v>
      </c>
      <c r="C727" t="s">
        <v>14</v>
      </c>
      <c r="D727" t="s">
        <v>35</v>
      </c>
      <c r="E727" t="s">
        <v>16</v>
      </c>
      <c r="F727" t="s">
        <v>17</v>
      </c>
      <c r="G727">
        <v>7</v>
      </c>
      <c r="H727">
        <v>866</v>
      </c>
      <c r="I727">
        <v>6062</v>
      </c>
      <c r="J727">
        <v>4728</v>
      </c>
      <c r="K727">
        <v>1334</v>
      </c>
      <c r="L727" t="s">
        <v>24</v>
      </c>
      <c r="M727" t="s">
        <v>19</v>
      </c>
      <c r="N727" t="str">
        <f>IF(SalesTbl[[#This Row],[Profit]]&gt;180,"High Profit","Low Profit")</f>
        <v>High Profit</v>
      </c>
      <c r="O727" t="str">
        <f>TEXT(SalesTbl[[#This Row],[Date]],"mmm")</f>
        <v>Feb</v>
      </c>
    </row>
    <row r="728" spans="1:15" x14ac:dyDescent="0.3">
      <c r="A728">
        <v>1727</v>
      </c>
      <c r="B728" t="s">
        <v>178</v>
      </c>
      <c r="C728" t="s">
        <v>31</v>
      </c>
      <c r="D728" t="s">
        <v>26</v>
      </c>
      <c r="E728" t="s">
        <v>48</v>
      </c>
      <c r="F728" t="s">
        <v>23</v>
      </c>
      <c r="G728">
        <v>2</v>
      </c>
      <c r="H728">
        <v>341</v>
      </c>
      <c r="I728">
        <v>682</v>
      </c>
      <c r="J728">
        <v>463</v>
      </c>
      <c r="K728">
        <v>219</v>
      </c>
      <c r="L728" t="s">
        <v>38</v>
      </c>
      <c r="M728" t="s">
        <v>29</v>
      </c>
      <c r="N728" t="str">
        <f>IF(SalesTbl[[#This Row],[Profit]]&gt;180,"High Profit","Low Profit")</f>
        <v>High Profit</v>
      </c>
      <c r="O728" t="str">
        <f>TEXT(SalesTbl[[#This Row],[Date]],"mmm")</f>
        <v>Feb</v>
      </c>
    </row>
    <row r="729" spans="1:15" x14ac:dyDescent="0.3">
      <c r="A729">
        <v>1728</v>
      </c>
      <c r="B729" t="s">
        <v>57</v>
      </c>
      <c r="C729" t="s">
        <v>21</v>
      </c>
      <c r="D729" t="s">
        <v>35</v>
      </c>
      <c r="E729" t="s">
        <v>16</v>
      </c>
      <c r="F729" t="s">
        <v>17</v>
      </c>
      <c r="G729">
        <v>9</v>
      </c>
      <c r="H729">
        <v>317</v>
      </c>
      <c r="I729">
        <v>2853</v>
      </c>
      <c r="J729">
        <v>2082</v>
      </c>
      <c r="K729">
        <v>771</v>
      </c>
      <c r="L729" t="s">
        <v>33</v>
      </c>
      <c r="M729" t="s">
        <v>19</v>
      </c>
      <c r="N729" t="str">
        <f>IF(SalesTbl[[#This Row],[Profit]]&gt;180,"High Profit","Low Profit")</f>
        <v>High Profit</v>
      </c>
      <c r="O729" t="str">
        <f>TEXT(SalesTbl[[#This Row],[Date]],"mmm")</f>
        <v>Apr</v>
      </c>
    </row>
    <row r="730" spans="1:15" x14ac:dyDescent="0.3">
      <c r="A730">
        <v>1729</v>
      </c>
      <c r="B730" t="s">
        <v>45</v>
      </c>
      <c r="C730" t="s">
        <v>21</v>
      </c>
      <c r="D730" t="s">
        <v>35</v>
      </c>
      <c r="E730" t="s">
        <v>22</v>
      </c>
      <c r="F730" t="s">
        <v>23</v>
      </c>
      <c r="G730">
        <v>2</v>
      </c>
      <c r="H730">
        <v>470</v>
      </c>
      <c r="I730">
        <v>940</v>
      </c>
      <c r="J730">
        <v>658</v>
      </c>
      <c r="K730">
        <v>282</v>
      </c>
      <c r="L730" t="s">
        <v>38</v>
      </c>
      <c r="M730" t="s">
        <v>29</v>
      </c>
      <c r="N730" t="str">
        <f>IF(SalesTbl[[#This Row],[Profit]]&gt;180,"High Profit","Low Profit")</f>
        <v>High Profit</v>
      </c>
      <c r="O730" t="str">
        <f>TEXT(SalesTbl[[#This Row],[Date]],"mmm")</f>
        <v>May</v>
      </c>
    </row>
    <row r="731" spans="1:15" x14ac:dyDescent="0.3">
      <c r="A731">
        <v>1730</v>
      </c>
      <c r="B731" t="s">
        <v>175</v>
      </c>
      <c r="C731" t="s">
        <v>31</v>
      </c>
      <c r="D731" t="s">
        <v>35</v>
      </c>
      <c r="E731" t="s">
        <v>22</v>
      </c>
      <c r="F731" t="s">
        <v>23</v>
      </c>
      <c r="G731">
        <v>1</v>
      </c>
      <c r="H731">
        <v>188</v>
      </c>
      <c r="I731">
        <v>188</v>
      </c>
      <c r="J731">
        <v>135</v>
      </c>
      <c r="K731">
        <v>53</v>
      </c>
      <c r="L731" t="s">
        <v>24</v>
      </c>
      <c r="M731" t="s">
        <v>29</v>
      </c>
      <c r="N731" t="str">
        <f>IF(SalesTbl[[#This Row],[Profit]]&gt;180,"High Profit","Low Profit")</f>
        <v>Low Profit</v>
      </c>
      <c r="O731" t="str">
        <f>TEXT(SalesTbl[[#This Row],[Date]],"mmm")</f>
        <v>May</v>
      </c>
    </row>
    <row r="732" spans="1:15" x14ac:dyDescent="0.3">
      <c r="A732">
        <v>1731</v>
      </c>
      <c r="B732" t="s">
        <v>100</v>
      </c>
      <c r="C732" t="s">
        <v>14</v>
      </c>
      <c r="D732" t="s">
        <v>15</v>
      </c>
      <c r="E732" t="s">
        <v>41</v>
      </c>
      <c r="F732" t="s">
        <v>17</v>
      </c>
      <c r="G732">
        <v>10</v>
      </c>
      <c r="H732">
        <v>426</v>
      </c>
      <c r="I732">
        <v>4260</v>
      </c>
      <c r="J732">
        <v>2854</v>
      </c>
      <c r="K732">
        <v>1406</v>
      </c>
      <c r="L732" t="s">
        <v>38</v>
      </c>
      <c r="M732" t="s">
        <v>29</v>
      </c>
      <c r="N732" t="str">
        <f>IF(SalesTbl[[#This Row],[Profit]]&gt;180,"High Profit","Low Profit")</f>
        <v>High Profit</v>
      </c>
      <c r="O732" t="str">
        <f>TEXT(SalesTbl[[#This Row],[Date]],"mmm")</f>
        <v>Jan</v>
      </c>
    </row>
    <row r="733" spans="1:15" x14ac:dyDescent="0.3">
      <c r="A733">
        <v>1732</v>
      </c>
      <c r="B733" t="s">
        <v>43</v>
      </c>
      <c r="C733" t="s">
        <v>21</v>
      </c>
      <c r="D733" t="s">
        <v>32</v>
      </c>
      <c r="E733" t="s">
        <v>16</v>
      </c>
      <c r="F733" t="s">
        <v>17</v>
      </c>
      <c r="G733">
        <v>3</v>
      </c>
      <c r="H733">
        <v>900</v>
      </c>
      <c r="I733">
        <v>2700</v>
      </c>
      <c r="J733">
        <v>1917</v>
      </c>
      <c r="K733">
        <v>783</v>
      </c>
      <c r="L733" t="s">
        <v>38</v>
      </c>
      <c r="M733" t="s">
        <v>29</v>
      </c>
      <c r="N733" t="str">
        <f>IF(SalesTbl[[#This Row],[Profit]]&gt;180,"High Profit","Low Profit")</f>
        <v>High Profit</v>
      </c>
      <c r="O733" t="str">
        <f>TEXT(SalesTbl[[#This Row],[Date]],"mmm")</f>
        <v>Apr</v>
      </c>
    </row>
    <row r="734" spans="1:15" x14ac:dyDescent="0.3">
      <c r="A734">
        <v>1733</v>
      </c>
      <c r="B734" t="s">
        <v>84</v>
      </c>
      <c r="C734" t="s">
        <v>14</v>
      </c>
      <c r="D734" t="s">
        <v>26</v>
      </c>
      <c r="E734" t="s">
        <v>41</v>
      </c>
      <c r="F734" t="s">
        <v>17</v>
      </c>
      <c r="G734">
        <v>3</v>
      </c>
      <c r="H734">
        <v>801</v>
      </c>
      <c r="I734">
        <v>2403</v>
      </c>
      <c r="J734">
        <v>1610</v>
      </c>
      <c r="K734">
        <v>793</v>
      </c>
      <c r="L734" t="s">
        <v>28</v>
      </c>
      <c r="M734" t="s">
        <v>19</v>
      </c>
      <c r="N734" t="str">
        <f>IF(SalesTbl[[#This Row],[Profit]]&gt;180,"High Profit","Low Profit")</f>
        <v>High Profit</v>
      </c>
      <c r="O734" t="str">
        <f>TEXT(SalesTbl[[#This Row],[Date]],"mmm")</f>
        <v>Apr</v>
      </c>
    </row>
    <row r="735" spans="1:15" x14ac:dyDescent="0.3">
      <c r="A735">
        <v>1602</v>
      </c>
      <c r="B735" t="s">
        <v>113</v>
      </c>
      <c r="C735" t="s">
        <v>40</v>
      </c>
      <c r="D735" t="s">
        <v>15</v>
      </c>
      <c r="E735" t="s">
        <v>27</v>
      </c>
      <c r="F735" t="s">
        <v>17</v>
      </c>
      <c r="G735">
        <v>2</v>
      </c>
      <c r="H735">
        <v>602</v>
      </c>
      <c r="I735">
        <v>1204</v>
      </c>
      <c r="J735">
        <v>866</v>
      </c>
      <c r="K735">
        <v>338</v>
      </c>
      <c r="L735" t="s">
        <v>33</v>
      </c>
      <c r="M735" t="s">
        <v>29</v>
      </c>
      <c r="N735" t="str">
        <f>IF(SalesTbl[[#This Row],[Profit]]&gt;180,"High Profit","Low Profit")</f>
        <v>High Profit</v>
      </c>
      <c r="O735" t="str">
        <f>TEXT(SalesTbl[[#This Row],[Date]],"mmm")</f>
        <v>May</v>
      </c>
    </row>
    <row r="736" spans="1:15" x14ac:dyDescent="0.3">
      <c r="A736">
        <v>1647</v>
      </c>
      <c r="B736" t="s">
        <v>186</v>
      </c>
      <c r="C736" t="s">
        <v>40</v>
      </c>
      <c r="D736" t="s">
        <v>32</v>
      </c>
      <c r="E736" t="s">
        <v>27</v>
      </c>
      <c r="F736" t="s">
        <v>17</v>
      </c>
      <c r="G736">
        <v>4</v>
      </c>
      <c r="H736">
        <v>212</v>
      </c>
      <c r="I736">
        <v>848</v>
      </c>
      <c r="J736">
        <v>534</v>
      </c>
      <c r="K736">
        <v>314</v>
      </c>
      <c r="L736" t="s">
        <v>38</v>
      </c>
      <c r="M736" t="s">
        <v>19</v>
      </c>
      <c r="N736" t="str">
        <f>IF(SalesTbl[[#This Row],[Profit]]&gt;180,"High Profit","Low Profit")</f>
        <v>High Profit</v>
      </c>
      <c r="O736" t="str">
        <f>TEXT(SalesTbl[[#This Row],[Date]],"mmm")</f>
        <v>Jun</v>
      </c>
    </row>
    <row r="737" spans="1:15" x14ac:dyDescent="0.3">
      <c r="A737">
        <v>1736</v>
      </c>
      <c r="B737" t="s">
        <v>102</v>
      </c>
      <c r="C737" t="s">
        <v>40</v>
      </c>
      <c r="D737" t="s">
        <v>26</v>
      </c>
      <c r="E737" t="s">
        <v>22</v>
      </c>
      <c r="F737" t="s">
        <v>23</v>
      </c>
      <c r="G737">
        <v>2</v>
      </c>
      <c r="H737">
        <v>743</v>
      </c>
      <c r="I737">
        <v>1486</v>
      </c>
      <c r="J737">
        <v>965</v>
      </c>
      <c r="K737">
        <v>521</v>
      </c>
      <c r="L737" t="s">
        <v>28</v>
      </c>
      <c r="M737" t="s">
        <v>29</v>
      </c>
      <c r="N737" t="str">
        <f>IF(SalesTbl[[#This Row],[Profit]]&gt;180,"High Profit","Low Profit")</f>
        <v>High Profit</v>
      </c>
      <c r="O737" t="str">
        <f>TEXT(SalesTbl[[#This Row],[Date]],"mmm")</f>
        <v>May</v>
      </c>
    </row>
    <row r="738" spans="1:15" x14ac:dyDescent="0.3">
      <c r="A738">
        <v>1737</v>
      </c>
      <c r="B738" t="s">
        <v>45</v>
      </c>
      <c r="C738" t="s">
        <v>14</v>
      </c>
      <c r="D738" t="s">
        <v>26</v>
      </c>
      <c r="E738" t="s">
        <v>16</v>
      </c>
      <c r="F738" t="s">
        <v>17</v>
      </c>
      <c r="G738">
        <v>9</v>
      </c>
      <c r="H738">
        <v>788</v>
      </c>
      <c r="I738">
        <v>7092</v>
      </c>
      <c r="J738">
        <v>4680</v>
      </c>
      <c r="K738">
        <v>2412</v>
      </c>
      <c r="L738" t="s">
        <v>33</v>
      </c>
      <c r="M738" t="s">
        <v>19</v>
      </c>
      <c r="N738" t="str">
        <f>IF(SalesTbl[[#This Row],[Profit]]&gt;180,"High Profit","Low Profit")</f>
        <v>High Profit</v>
      </c>
      <c r="O738" t="str">
        <f>TEXT(SalesTbl[[#This Row],[Date]],"mmm")</f>
        <v>May</v>
      </c>
    </row>
    <row r="739" spans="1:15" x14ac:dyDescent="0.3">
      <c r="A739">
        <v>1738</v>
      </c>
      <c r="B739" t="s">
        <v>208</v>
      </c>
      <c r="C739" t="s">
        <v>40</v>
      </c>
      <c r="D739" t="s">
        <v>15</v>
      </c>
      <c r="E739" t="s">
        <v>22</v>
      </c>
      <c r="F739" t="s">
        <v>23</v>
      </c>
      <c r="G739">
        <v>3</v>
      </c>
      <c r="H739">
        <v>995</v>
      </c>
      <c r="I739">
        <v>2985</v>
      </c>
      <c r="J739">
        <v>2119</v>
      </c>
      <c r="K739">
        <v>866</v>
      </c>
      <c r="L739" t="s">
        <v>24</v>
      </c>
      <c r="M739" t="s">
        <v>29</v>
      </c>
      <c r="N739" t="str">
        <f>IF(SalesTbl[[#This Row],[Profit]]&gt;180,"High Profit","Low Profit")</f>
        <v>High Profit</v>
      </c>
      <c r="O739" t="str">
        <f>TEXT(SalesTbl[[#This Row],[Date]],"mmm")</f>
        <v>Jun</v>
      </c>
    </row>
    <row r="740" spans="1:15" x14ac:dyDescent="0.3">
      <c r="A740">
        <v>1739</v>
      </c>
      <c r="B740" t="s">
        <v>81</v>
      </c>
      <c r="C740" t="s">
        <v>40</v>
      </c>
      <c r="D740" t="s">
        <v>26</v>
      </c>
      <c r="E740" t="s">
        <v>48</v>
      </c>
      <c r="F740" t="s">
        <v>23</v>
      </c>
      <c r="G740">
        <v>5</v>
      </c>
      <c r="H740">
        <v>171</v>
      </c>
      <c r="I740">
        <v>855</v>
      </c>
      <c r="J740">
        <v>607</v>
      </c>
      <c r="K740">
        <v>248</v>
      </c>
      <c r="L740" t="s">
        <v>38</v>
      </c>
      <c r="M740" t="s">
        <v>19</v>
      </c>
      <c r="N740" t="str">
        <f>IF(SalesTbl[[#This Row],[Profit]]&gt;180,"High Profit","Low Profit")</f>
        <v>High Profit</v>
      </c>
      <c r="O740" t="str">
        <f>TEXT(SalesTbl[[#This Row],[Date]],"mmm")</f>
        <v>Apr</v>
      </c>
    </row>
    <row r="741" spans="1:15" x14ac:dyDescent="0.3">
      <c r="A741">
        <v>1740</v>
      </c>
      <c r="B741" t="s">
        <v>63</v>
      </c>
      <c r="C741" t="s">
        <v>31</v>
      </c>
      <c r="D741" t="s">
        <v>15</v>
      </c>
      <c r="E741" t="s">
        <v>54</v>
      </c>
      <c r="F741" t="s">
        <v>17</v>
      </c>
      <c r="G741">
        <v>6</v>
      </c>
      <c r="H741">
        <v>133</v>
      </c>
      <c r="I741">
        <v>798</v>
      </c>
      <c r="J741">
        <v>622</v>
      </c>
      <c r="K741">
        <v>176</v>
      </c>
      <c r="L741" t="s">
        <v>28</v>
      </c>
      <c r="M741" t="s">
        <v>29</v>
      </c>
      <c r="N741" t="str">
        <f>IF(SalesTbl[[#This Row],[Profit]]&gt;180,"High Profit","Low Profit")</f>
        <v>Low Profit</v>
      </c>
      <c r="O741" t="str">
        <f>TEXT(SalesTbl[[#This Row],[Date]],"mmm")</f>
        <v>Jan</v>
      </c>
    </row>
    <row r="742" spans="1:15" x14ac:dyDescent="0.3">
      <c r="A742">
        <v>1509</v>
      </c>
      <c r="B742" t="s">
        <v>83</v>
      </c>
      <c r="C742" t="s">
        <v>40</v>
      </c>
      <c r="D742" t="s">
        <v>35</v>
      </c>
      <c r="E742" t="s">
        <v>41</v>
      </c>
      <c r="F742" t="s">
        <v>17</v>
      </c>
      <c r="G742">
        <v>5</v>
      </c>
      <c r="H742">
        <v>213</v>
      </c>
      <c r="I742">
        <v>1065</v>
      </c>
      <c r="J742">
        <v>756</v>
      </c>
      <c r="K742">
        <v>309</v>
      </c>
      <c r="L742" t="s">
        <v>28</v>
      </c>
      <c r="M742" t="s">
        <v>19</v>
      </c>
      <c r="N742" t="str">
        <f>IF(SalesTbl[[#This Row],[Profit]]&gt;180,"High Profit","Low Profit")</f>
        <v>High Profit</v>
      </c>
      <c r="O742" t="str">
        <f>TEXT(SalesTbl[[#This Row],[Date]],"mmm")</f>
        <v>Jun</v>
      </c>
    </row>
    <row r="743" spans="1:15" x14ac:dyDescent="0.3">
      <c r="A743">
        <v>1742</v>
      </c>
      <c r="B743" t="s">
        <v>185</v>
      </c>
      <c r="C743" t="s">
        <v>31</v>
      </c>
      <c r="D743" t="s">
        <v>32</v>
      </c>
      <c r="E743" t="s">
        <v>16</v>
      </c>
      <c r="F743" t="s">
        <v>17</v>
      </c>
      <c r="G743">
        <v>5</v>
      </c>
      <c r="H743">
        <v>526</v>
      </c>
      <c r="I743">
        <v>2630</v>
      </c>
      <c r="J743">
        <v>1604</v>
      </c>
      <c r="K743">
        <v>1026</v>
      </c>
      <c r="L743" t="s">
        <v>38</v>
      </c>
      <c r="M743" t="s">
        <v>29</v>
      </c>
      <c r="N743" t="str">
        <f>IF(SalesTbl[[#This Row],[Profit]]&gt;180,"High Profit","Low Profit")</f>
        <v>High Profit</v>
      </c>
      <c r="O743" t="str">
        <f>TEXT(SalesTbl[[#This Row],[Date]],"mmm")</f>
        <v>Jun</v>
      </c>
    </row>
    <row r="744" spans="1:15" x14ac:dyDescent="0.3">
      <c r="A744">
        <v>1743</v>
      </c>
      <c r="B744" t="s">
        <v>177</v>
      </c>
      <c r="C744" t="s">
        <v>14</v>
      </c>
      <c r="D744" t="s">
        <v>15</v>
      </c>
      <c r="E744" t="s">
        <v>22</v>
      </c>
      <c r="F744" t="s">
        <v>23</v>
      </c>
      <c r="G744">
        <v>1</v>
      </c>
      <c r="H744">
        <v>445</v>
      </c>
      <c r="I744">
        <v>445</v>
      </c>
      <c r="J744">
        <v>284</v>
      </c>
      <c r="K744">
        <v>161</v>
      </c>
      <c r="L744" t="s">
        <v>38</v>
      </c>
      <c r="M744" t="s">
        <v>29</v>
      </c>
      <c r="N744" t="str">
        <f>IF(SalesTbl[[#This Row],[Profit]]&gt;180,"High Profit","Low Profit")</f>
        <v>Low Profit</v>
      </c>
      <c r="O744" t="str">
        <f>TEXT(SalesTbl[[#This Row],[Date]],"mmm")</f>
        <v>Feb</v>
      </c>
    </row>
    <row r="745" spans="1:15" x14ac:dyDescent="0.3">
      <c r="A745">
        <v>1744</v>
      </c>
      <c r="B745" t="s">
        <v>149</v>
      </c>
      <c r="C745" t="s">
        <v>31</v>
      </c>
      <c r="D745" t="s">
        <v>26</v>
      </c>
      <c r="E745" t="s">
        <v>16</v>
      </c>
      <c r="F745" t="s">
        <v>17</v>
      </c>
      <c r="G745">
        <v>2</v>
      </c>
      <c r="H745">
        <v>296</v>
      </c>
      <c r="I745">
        <v>592</v>
      </c>
      <c r="J745">
        <v>408</v>
      </c>
      <c r="K745">
        <v>184</v>
      </c>
      <c r="L745" t="s">
        <v>18</v>
      </c>
      <c r="M745" t="s">
        <v>19</v>
      </c>
      <c r="N745" t="str">
        <f>IF(SalesTbl[[#This Row],[Profit]]&gt;180,"High Profit","Low Profit")</f>
        <v>High Profit</v>
      </c>
      <c r="O745" t="str">
        <f>TEXT(SalesTbl[[#This Row],[Date]],"mmm")</f>
        <v>Mar</v>
      </c>
    </row>
    <row r="746" spans="1:15" x14ac:dyDescent="0.3">
      <c r="A746">
        <v>1906</v>
      </c>
      <c r="B746" t="s">
        <v>76</v>
      </c>
      <c r="C746" t="s">
        <v>40</v>
      </c>
      <c r="D746" t="s">
        <v>32</v>
      </c>
      <c r="E746" t="s">
        <v>41</v>
      </c>
      <c r="F746" t="s">
        <v>17</v>
      </c>
      <c r="G746">
        <v>7</v>
      </c>
      <c r="H746">
        <v>116</v>
      </c>
      <c r="I746">
        <v>812</v>
      </c>
      <c r="J746">
        <v>503</v>
      </c>
      <c r="K746">
        <v>309</v>
      </c>
      <c r="L746" t="s">
        <v>18</v>
      </c>
      <c r="M746" t="s">
        <v>29</v>
      </c>
      <c r="N746" t="str">
        <f>IF(SalesTbl[[#This Row],[Profit]]&gt;180,"High Profit","Low Profit")</f>
        <v>High Profit</v>
      </c>
      <c r="O746" t="str">
        <f>TEXT(SalesTbl[[#This Row],[Date]],"mmm")</f>
        <v>Jun</v>
      </c>
    </row>
    <row r="747" spans="1:15" x14ac:dyDescent="0.3">
      <c r="A747">
        <v>1746</v>
      </c>
      <c r="B747" t="s">
        <v>142</v>
      </c>
      <c r="C747" t="s">
        <v>14</v>
      </c>
      <c r="D747" t="s">
        <v>15</v>
      </c>
      <c r="E747" t="s">
        <v>27</v>
      </c>
      <c r="F747" t="s">
        <v>17</v>
      </c>
      <c r="G747">
        <v>8</v>
      </c>
      <c r="H747">
        <v>564</v>
      </c>
      <c r="I747">
        <v>4512</v>
      </c>
      <c r="J747">
        <v>3158</v>
      </c>
      <c r="K747">
        <v>1354</v>
      </c>
      <c r="L747" t="s">
        <v>38</v>
      </c>
      <c r="M747" t="s">
        <v>29</v>
      </c>
      <c r="N747" t="str">
        <f>IF(SalesTbl[[#This Row],[Profit]]&gt;180,"High Profit","Low Profit")</f>
        <v>High Profit</v>
      </c>
      <c r="O747" t="str">
        <f>TEXT(SalesTbl[[#This Row],[Date]],"mmm")</f>
        <v>Mar</v>
      </c>
    </row>
    <row r="748" spans="1:15" x14ac:dyDescent="0.3">
      <c r="A748">
        <v>1747</v>
      </c>
      <c r="B748" t="s">
        <v>129</v>
      </c>
      <c r="C748" t="s">
        <v>21</v>
      </c>
      <c r="D748" t="s">
        <v>32</v>
      </c>
      <c r="E748" t="s">
        <v>22</v>
      </c>
      <c r="F748" t="s">
        <v>23</v>
      </c>
      <c r="G748">
        <v>6</v>
      </c>
      <c r="H748">
        <v>715</v>
      </c>
      <c r="I748">
        <v>4290</v>
      </c>
      <c r="J748">
        <v>3303</v>
      </c>
      <c r="K748">
        <v>987</v>
      </c>
      <c r="L748" t="s">
        <v>24</v>
      </c>
      <c r="M748" t="s">
        <v>29</v>
      </c>
      <c r="N748" t="str">
        <f>IF(SalesTbl[[#This Row],[Profit]]&gt;180,"High Profit","Low Profit")</f>
        <v>High Profit</v>
      </c>
      <c r="O748" t="str">
        <f>TEXT(SalesTbl[[#This Row],[Date]],"mmm")</f>
        <v>Mar</v>
      </c>
    </row>
    <row r="749" spans="1:15" x14ac:dyDescent="0.3">
      <c r="A749">
        <v>1748</v>
      </c>
      <c r="B749" t="s">
        <v>156</v>
      </c>
      <c r="C749" t="s">
        <v>14</v>
      </c>
      <c r="D749" t="s">
        <v>32</v>
      </c>
      <c r="E749" t="s">
        <v>16</v>
      </c>
      <c r="F749" t="s">
        <v>17</v>
      </c>
      <c r="G749">
        <v>2</v>
      </c>
      <c r="H749">
        <v>874</v>
      </c>
      <c r="I749">
        <v>1748</v>
      </c>
      <c r="J749">
        <v>1048</v>
      </c>
      <c r="K749">
        <v>700</v>
      </c>
      <c r="L749" t="s">
        <v>38</v>
      </c>
      <c r="M749" t="s">
        <v>29</v>
      </c>
      <c r="N749" t="str">
        <f>IF(SalesTbl[[#This Row],[Profit]]&gt;180,"High Profit","Low Profit")</f>
        <v>High Profit</v>
      </c>
      <c r="O749" t="str">
        <f>TEXT(SalesTbl[[#This Row],[Date]],"mmm")</f>
        <v>Feb</v>
      </c>
    </row>
    <row r="750" spans="1:15" x14ac:dyDescent="0.3">
      <c r="A750">
        <v>1749</v>
      </c>
      <c r="B750" t="s">
        <v>150</v>
      </c>
      <c r="C750" t="s">
        <v>21</v>
      </c>
      <c r="D750" t="s">
        <v>35</v>
      </c>
      <c r="E750" t="s">
        <v>22</v>
      </c>
      <c r="F750" t="s">
        <v>23</v>
      </c>
      <c r="G750">
        <v>10</v>
      </c>
      <c r="H750">
        <v>102</v>
      </c>
      <c r="I750">
        <v>1020</v>
      </c>
      <c r="J750">
        <v>714</v>
      </c>
      <c r="K750">
        <v>306</v>
      </c>
      <c r="L750" t="s">
        <v>33</v>
      </c>
      <c r="M750" t="s">
        <v>19</v>
      </c>
      <c r="N750" t="str">
        <f>IF(SalesTbl[[#This Row],[Profit]]&gt;180,"High Profit","Low Profit")</f>
        <v>High Profit</v>
      </c>
      <c r="O750" t="str">
        <f>TEXT(SalesTbl[[#This Row],[Date]],"mmm")</f>
        <v>Jun</v>
      </c>
    </row>
    <row r="751" spans="1:15" x14ac:dyDescent="0.3">
      <c r="A751">
        <v>1653</v>
      </c>
      <c r="B751" t="s">
        <v>189</v>
      </c>
      <c r="C751" t="s">
        <v>40</v>
      </c>
      <c r="D751" t="s">
        <v>26</v>
      </c>
      <c r="E751" t="s">
        <v>41</v>
      </c>
      <c r="F751" t="s">
        <v>17</v>
      </c>
      <c r="G751">
        <v>3</v>
      </c>
      <c r="H751">
        <v>502</v>
      </c>
      <c r="I751">
        <v>1506</v>
      </c>
      <c r="J751">
        <v>1204</v>
      </c>
      <c r="K751">
        <v>302</v>
      </c>
      <c r="L751" t="s">
        <v>24</v>
      </c>
      <c r="M751" t="s">
        <v>19</v>
      </c>
      <c r="N751" t="str">
        <f>IF(SalesTbl[[#This Row],[Profit]]&gt;180,"High Profit","Low Profit")</f>
        <v>High Profit</v>
      </c>
      <c r="O751" t="str">
        <f>TEXT(SalesTbl[[#This Row],[Date]],"mmm")</f>
        <v>May</v>
      </c>
    </row>
    <row r="752" spans="1:15" x14ac:dyDescent="0.3">
      <c r="A752">
        <v>1751</v>
      </c>
      <c r="B752" t="s">
        <v>163</v>
      </c>
      <c r="C752" t="s">
        <v>14</v>
      </c>
      <c r="D752" t="s">
        <v>15</v>
      </c>
      <c r="E752" t="s">
        <v>54</v>
      </c>
      <c r="F752" t="s">
        <v>17</v>
      </c>
      <c r="G752">
        <v>6</v>
      </c>
      <c r="H752">
        <v>520</v>
      </c>
      <c r="I752">
        <v>3120</v>
      </c>
      <c r="J752">
        <v>2277</v>
      </c>
      <c r="K752">
        <v>843</v>
      </c>
      <c r="L752" t="s">
        <v>33</v>
      </c>
      <c r="M752" t="s">
        <v>29</v>
      </c>
      <c r="N752" t="str">
        <f>IF(SalesTbl[[#This Row],[Profit]]&gt;180,"High Profit","Low Profit")</f>
        <v>High Profit</v>
      </c>
      <c r="O752" t="str">
        <f>TEXT(SalesTbl[[#This Row],[Date]],"mmm")</f>
        <v>Feb</v>
      </c>
    </row>
    <row r="753" spans="1:15" x14ac:dyDescent="0.3">
      <c r="A753">
        <v>1087</v>
      </c>
      <c r="B753" t="s">
        <v>108</v>
      </c>
      <c r="C753" t="s">
        <v>40</v>
      </c>
      <c r="D753" t="s">
        <v>15</v>
      </c>
      <c r="E753" t="s">
        <v>54</v>
      </c>
      <c r="F753" t="s">
        <v>17</v>
      </c>
      <c r="G753">
        <v>7</v>
      </c>
      <c r="H753">
        <v>160</v>
      </c>
      <c r="I753">
        <v>1120</v>
      </c>
      <c r="J753">
        <v>828</v>
      </c>
      <c r="K753">
        <v>292</v>
      </c>
      <c r="L753" t="s">
        <v>28</v>
      </c>
      <c r="M753" t="s">
        <v>29</v>
      </c>
      <c r="N753" t="str">
        <f>IF(SalesTbl[[#This Row],[Profit]]&gt;180,"High Profit","Low Profit")</f>
        <v>High Profit</v>
      </c>
      <c r="O753" t="str">
        <f>TEXT(SalesTbl[[#This Row],[Date]],"mmm")</f>
        <v>Apr</v>
      </c>
    </row>
    <row r="754" spans="1:15" x14ac:dyDescent="0.3">
      <c r="A754">
        <v>1961</v>
      </c>
      <c r="B754" t="s">
        <v>123</v>
      </c>
      <c r="C754" t="s">
        <v>40</v>
      </c>
      <c r="D754" t="s">
        <v>32</v>
      </c>
      <c r="E754" t="s">
        <v>54</v>
      </c>
      <c r="F754" t="s">
        <v>17</v>
      </c>
      <c r="G754">
        <v>2</v>
      </c>
      <c r="H754">
        <v>687</v>
      </c>
      <c r="I754">
        <v>1374</v>
      </c>
      <c r="J754">
        <v>1085</v>
      </c>
      <c r="K754">
        <v>289</v>
      </c>
      <c r="L754" t="s">
        <v>38</v>
      </c>
      <c r="M754" t="s">
        <v>19</v>
      </c>
      <c r="N754" t="str">
        <f>IF(SalesTbl[[#This Row],[Profit]]&gt;180,"High Profit","Low Profit")</f>
        <v>High Profit</v>
      </c>
      <c r="O754" t="str">
        <f>TEXT(SalesTbl[[#This Row],[Date]],"mmm")</f>
        <v>Jan</v>
      </c>
    </row>
    <row r="755" spans="1:15" x14ac:dyDescent="0.3">
      <c r="A755">
        <v>1754</v>
      </c>
      <c r="B755" t="s">
        <v>130</v>
      </c>
      <c r="C755" t="s">
        <v>14</v>
      </c>
      <c r="D755" t="s">
        <v>35</v>
      </c>
      <c r="E755" t="s">
        <v>54</v>
      </c>
      <c r="F755" t="s">
        <v>17</v>
      </c>
      <c r="G755">
        <v>8</v>
      </c>
      <c r="H755">
        <v>80</v>
      </c>
      <c r="I755">
        <v>640</v>
      </c>
      <c r="J755">
        <v>409</v>
      </c>
      <c r="K755">
        <v>231</v>
      </c>
      <c r="L755" t="s">
        <v>28</v>
      </c>
      <c r="M755" t="s">
        <v>29</v>
      </c>
      <c r="N755" t="str">
        <f>IF(SalesTbl[[#This Row],[Profit]]&gt;180,"High Profit","Low Profit")</f>
        <v>High Profit</v>
      </c>
      <c r="O755" t="str">
        <f>TEXT(SalesTbl[[#This Row],[Date]],"mmm")</f>
        <v>Mar</v>
      </c>
    </row>
    <row r="756" spans="1:15" x14ac:dyDescent="0.3">
      <c r="A756">
        <v>1755</v>
      </c>
      <c r="B756" t="s">
        <v>75</v>
      </c>
      <c r="C756" t="s">
        <v>14</v>
      </c>
      <c r="D756" t="s">
        <v>35</v>
      </c>
      <c r="E756" t="s">
        <v>22</v>
      </c>
      <c r="F756" t="s">
        <v>23</v>
      </c>
      <c r="G756">
        <v>8</v>
      </c>
      <c r="H756">
        <v>592</v>
      </c>
      <c r="I756">
        <v>4736</v>
      </c>
      <c r="J756">
        <v>3646</v>
      </c>
      <c r="K756">
        <v>1090</v>
      </c>
      <c r="L756" t="s">
        <v>28</v>
      </c>
      <c r="M756" t="s">
        <v>29</v>
      </c>
      <c r="N756" t="str">
        <f>IF(SalesTbl[[#This Row],[Profit]]&gt;180,"High Profit","Low Profit")</f>
        <v>High Profit</v>
      </c>
      <c r="O756" t="str">
        <f>TEXT(SalesTbl[[#This Row],[Date]],"mmm")</f>
        <v>Jun</v>
      </c>
    </row>
    <row r="757" spans="1:15" x14ac:dyDescent="0.3">
      <c r="A757">
        <v>1756</v>
      </c>
      <c r="B757" t="s">
        <v>44</v>
      </c>
      <c r="C757" t="s">
        <v>21</v>
      </c>
      <c r="D757" t="s">
        <v>32</v>
      </c>
      <c r="E757" t="s">
        <v>41</v>
      </c>
      <c r="F757" t="s">
        <v>17</v>
      </c>
      <c r="G757">
        <v>1</v>
      </c>
      <c r="H757">
        <v>335</v>
      </c>
      <c r="I757">
        <v>335</v>
      </c>
      <c r="J757">
        <v>247</v>
      </c>
      <c r="K757">
        <v>88</v>
      </c>
      <c r="L757" t="s">
        <v>18</v>
      </c>
      <c r="M757" t="s">
        <v>19</v>
      </c>
      <c r="N757" t="str">
        <f>IF(SalesTbl[[#This Row],[Profit]]&gt;180,"High Profit","Low Profit")</f>
        <v>Low Profit</v>
      </c>
      <c r="O757" t="str">
        <f>TEXT(SalesTbl[[#This Row],[Date]],"mmm")</f>
        <v>Jan</v>
      </c>
    </row>
    <row r="758" spans="1:15" x14ac:dyDescent="0.3">
      <c r="A758">
        <v>1757</v>
      </c>
      <c r="B758" t="s">
        <v>181</v>
      </c>
      <c r="C758" t="s">
        <v>14</v>
      </c>
      <c r="D758" t="s">
        <v>15</v>
      </c>
      <c r="E758" t="s">
        <v>54</v>
      </c>
      <c r="F758" t="s">
        <v>17</v>
      </c>
      <c r="G758">
        <v>8</v>
      </c>
      <c r="H758">
        <v>763</v>
      </c>
      <c r="I758">
        <v>6104</v>
      </c>
      <c r="J758">
        <v>3906</v>
      </c>
      <c r="K758">
        <v>2198</v>
      </c>
      <c r="L758" t="s">
        <v>24</v>
      </c>
      <c r="M758" t="s">
        <v>19</v>
      </c>
      <c r="N758" t="str">
        <f>IF(SalesTbl[[#This Row],[Profit]]&gt;180,"High Profit","Low Profit")</f>
        <v>High Profit</v>
      </c>
      <c r="O758" t="str">
        <f>TEXT(SalesTbl[[#This Row],[Date]],"mmm")</f>
        <v>Jan</v>
      </c>
    </row>
    <row r="759" spans="1:15" x14ac:dyDescent="0.3">
      <c r="A759">
        <v>1758</v>
      </c>
      <c r="B759" t="s">
        <v>73</v>
      </c>
      <c r="C759" t="s">
        <v>40</v>
      </c>
      <c r="D759" t="s">
        <v>26</v>
      </c>
      <c r="E759" t="s">
        <v>48</v>
      </c>
      <c r="F759" t="s">
        <v>23</v>
      </c>
      <c r="G759">
        <v>9</v>
      </c>
      <c r="H759">
        <v>858</v>
      </c>
      <c r="I759">
        <v>7722</v>
      </c>
      <c r="J759">
        <v>4942</v>
      </c>
      <c r="K759">
        <v>2780</v>
      </c>
      <c r="L759" t="s">
        <v>33</v>
      </c>
      <c r="M759" t="s">
        <v>29</v>
      </c>
      <c r="N759" t="str">
        <f>IF(SalesTbl[[#This Row],[Profit]]&gt;180,"High Profit","Low Profit")</f>
        <v>High Profit</v>
      </c>
      <c r="O759" t="str">
        <f>TEXT(SalesTbl[[#This Row],[Date]],"mmm")</f>
        <v>Jun</v>
      </c>
    </row>
    <row r="760" spans="1:15" x14ac:dyDescent="0.3">
      <c r="A760">
        <v>1759</v>
      </c>
      <c r="B760" t="s">
        <v>210</v>
      </c>
      <c r="C760" t="s">
        <v>40</v>
      </c>
      <c r="D760" t="s">
        <v>26</v>
      </c>
      <c r="E760" t="s">
        <v>22</v>
      </c>
      <c r="F760" t="s">
        <v>23</v>
      </c>
      <c r="G760">
        <v>5</v>
      </c>
      <c r="H760">
        <v>405</v>
      </c>
      <c r="I760">
        <v>2025</v>
      </c>
      <c r="J760">
        <v>1478</v>
      </c>
      <c r="K760">
        <v>547</v>
      </c>
      <c r="L760" t="s">
        <v>18</v>
      </c>
      <c r="M760" t="s">
        <v>19</v>
      </c>
      <c r="N760" t="str">
        <f>IF(SalesTbl[[#This Row],[Profit]]&gt;180,"High Profit","Low Profit")</f>
        <v>High Profit</v>
      </c>
      <c r="O760" t="str">
        <f>TEXT(SalesTbl[[#This Row],[Date]],"mmm")</f>
        <v>Apr</v>
      </c>
    </row>
    <row r="761" spans="1:15" x14ac:dyDescent="0.3">
      <c r="A761">
        <v>1760</v>
      </c>
      <c r="B761" t="s">
        <v>197</v>
      </c>
      <c r="C761" t="s">
        <v>31</v>
      </c>
      <c r="D761" t="s">
        <v>35</v>
      </c>
      <c r="E761" t="s">
        <v>41</v>
      </c>
      <c r="F761" t="s">
        <v>17</v>
      </c>
      <c r="G761">
        <v>8</v>
      </c>
      <c r="H761">
        <v>405</v>
      </c>
      <c r="I761">
        <v>3240</v>
      </c>
      <c r="J761">
        <v>2073</v>
      </c>
      <c r="K761">
        <v>1167</v>
      </c>
      <c r="L761" t="s">
        <v>28</v>
      </c>
      <c r="M761" t="s">
        <v>29</v>
      </c>
      <c r="N761" t="str">
        <f>IF(SalesTbl[[#This Row],[Profit]]&gt;180,"High Profit","Low Profit")</f>
        <v>High Profit</v>
      </c>
      <c r="O761" t="str">
        <f>TEXT(SalesTbl[[#This Row],[Date]],"mmm")</f>
        <v>Apr</v>
      </c>
    </row>
    <row r="762" spans="1:15" x14ac:dyDescent="0.3">
      <c r="A762">
        <v>1761</v>
      </c>
      <c r="B762" t="s">
        <v>117</v>
      </c>
      <c r="C762" t="s">
        <v>14</v>
      </c>
      <c r="D762" t="s">
        <v>26</v>
      </c>
      <c r="E762" t="s">
        <v>41</v>
      </c>
      <c r="F762" t="s">
        <v>17</v>
      </c>
      <c r="G762">
        <v>5</v>
      </c>
      <c r="H762">
        <v>889</v>
      </c>
      <c r="I762">
        <v>4445</v>
      </c>
      <c r="J762">
        <v>2755</v>
      </c>
      <c r="K762">
        <v>1690</v>
      </c>
      <c r="L762" t="s">
        <v>18</v>
      </c>
      <c r="M762" t="s">
        <v>29</v>
      </c>
      <c r="N762" t="str">
        <f>IF(SalesTbl[[#This Row],[Profit]]&gt;180,"High Profit","Low Profit")</f>
        <v>High Profit</v>
      </c>
      <c r="O762" t="str">
        <f>TEXT(SalesTbl[[#This Row],[Date]],"mmm")</f>
        <v>Jun</v>
      </c>
    </row>
    <row r="763" spans="1:15" x14ac:dyDescent="0.3">
      <c r="A763">
        <v>1762</v>
      </c>
      <c r="B763" t="s">
        <v>187</v>
      </c>
      <c r="C763" t="s">
        <v>14</v>
      </c>
      <c r="D763" t="s">
        <v>26</v>
      </c>
      <c r="E763" t="s">
        <v>22</v>
      </c>
      <c r="F763" t="s">
        <v>23</v>
      </c>
      <c r="G763">
        <v>6</v>
      </c>
      <c r="H763">
        <v>540</v>
      </c>
      <c r="I763">
        <v>3240</v>
      </c>
      <c r="J763">
        <v>2008</v>
      </c>
      <c r="K763">
        <v>1232</v>
      </c>
      <c r="L763" t="s">
        <v>28</v>
      </c>
      <c r="M763" t="s">
        <v>19</v>
      </c>
      <c r="N763" t="str">
        <f>IF(SalesTbl[[#This Row],[Profit]]&gt;180,"High Profit","Low Profit")</f>
        <v>High Profit</v>
      </c>
      <c r="O763" t="str">
        <f>TEXT(SalesTbl[[#This Row],[Date]],"mmm")</f>
        <v>Jun</v>
      </c>
    </row>
    <row r="764" spans="1:15" x14ac:dyDescent="0.3">
      <c r="A764">
        <v>1763</v>
      </c>
      <c r="B764" t="s">
        <v>177</v>
      </c>
      <c r="C764" t="s">
        <v>40</v>
      </c>
      <c r="D764" t="s">
        <v>32</v>
      </c>
      <c r="E764" t="s">
        <v>48</v>
      </c>
      <c r="F764" t="s">
        <v>23</v>
      </c>
      <c r="G764">
        <v>8</v>
      </c>
      <c r="H764">
        <v>784</v>
      </c>
      <c r="I764">
        <v>6272</v>
      </c>
      <c r="J764">
        <v>3888</v>
      </c>
      <c r="K764">
        <v>2384</v>
      </c>
      <c r="L764" t="s">
        <v>18</v>
      </c>
      <c r="M764" t="s">
        <v>19</v>
      </c>
      <c r="N764" t="str">
        <f>IF(SalesTbl[[#This Row],[Profit]]&gt;180,"High Profit","Low Profit")</f>
        <v>High Profit</v>
      </c>
      <c r="O764" t="str">
        <f>TEXT(SalesTbl[[#This Row],[Date]],"mmm")</f>
        <v>Feb</v>
      </c>
    </row>
    <row r="765" spans="1:15" x14ac:dyDescent="0.3">
      <c r="A765">
        <v>1764</v>
      </c>
      <c r="B765" t="s">
        <v>193</v>
      </c>
      <c r="C765" t="s">
        <v>21</v>
      </c>
      <c r="D765" t="s">
        <v>15</v>
      </c>
      <c r="E765" t="s">
        <v>41</v>
      </c>
      <c r="F765" t="s">
        <v>17</v>
      </c>
      <c r="G765">
        <v>9</v>
      </c>
      <c r="H765">
        <v>698</v>
      </c>
      <c r="I765">
        <v>6282</v>
      </c>
      <c r="J765">
        <v>5025</v>
      </c>
      <c r="K765">
        <v>1257</v>
      </c>
      <c r="L765" t="s">
        <v>28</v>
      </c>
      <c r="M765" t="s">
        <v>19</v>
      </c>
      <c r="N765" t="str">
        <f>IF(SalesTbl[[#This Row],[Profit]]&gt;180,"High Profit","Low Profit")</f>
        <v>High Profit</v>
      </c>
      <c r="O765" t="str">
        <f>TEXT(SalesTbl[[#This Row],[Date]],"mmm")</f>
        <v>Apr</v>
      </c>
    </row>
    <row r="766" spans="1:15" x14ac:dyDescent="0.3">
      <c r="A766">
        <v>1765</v>
      </c>
      <c r="B766" t="s">
        <v>42</v>
      </c>
      <c r="C766" t="s">
        <v>21</v>
      </c>
      <c r="D766" t="s">
        <v>35</v>
      </c>
      <c r="E766" t="s">
        <v>48</v>
      </c>
      <c r="F766" t="s">
        <v>23</v>
      </c>
      <c r="G766">
        <v>7</v>
      </c>
      <c r="H766">
        <v>363</v>
      </c>
      <c r="I766">
        <v>2541</v>
      </c>
      <c r="J766">
        <v>1600</v>
      </c>
      <c r="K766">
        <v>941</v>
      </c>
      <c r="L766" t="s">
        <v>33</v>
      </c>
      <c r="M766" t="s">
        <v>29</v>
      </c>
      <c r="N766" t="str">
        <f>IF(SalesTbl[[#This Row],[Profit]]&gt;180,"High Profit","Low Profit")</f>
        <v>High Profit</v>
      </c>
      <c r="O766" t="str">
        <f>TEXT(SalesTbl[[#This Row],[Date]],"mmm")</f>
        <v>Apr</v>
      </c>
    </row>
    <row r="767" spans="1:15" x14ac:dyDescent="0.3">
      <c r="A767">
        <v>1766</v>
      </c>
      <c r="B767" t="s">
        <v>178</v>
      </c>
      <c r="C767" t="s">
        <v>31</v>
      </c>
      <c r="D767" t="s">
        <v>26</v>
      </c>
      <c r="E767" t="s">
        <v>54</v>
      </c>
      <c r="F767" t="s">
        <v>17</v>
      </c>
      <c r="G767">
        <v>9</v>
      </c>
      <c r="H767">
        <v>779</v>
      </c>
      <c r="I767">
        <v>7011</v>
      </c>
      <c r="J767">
        <v>4416</v>
      </c>
      <c r="K767">
        <v>2595</v>
      </c>
      <c r="L767" t="s">
        <v>24</v>
      </c>
      <c r="M767" t="s">
        <v>19</v>
      </c>
      <c r="N767" t="str">
        <f>IF(SalesTbl[[#This Row],[Profit]]&gt;180,"High Profit","Low Profit")</f>
        <v>High Profit</v>
      </c>
      <c r="O767" t="str">
        <f>TEXT(SalesTbl[[#This Row],[Date]],"mmm")</f>
        <v>Feb</v>
      </c>
    </row>
    <row r="768" spans="1:15" x14ac:dyDescent="0.3">
      <c r="A768">
        <v>1767</v>
      </c>
      <c r="B768" t="s">
        <v>165</v>
      </c>
      <c r="C768" t="s">
        <v>14</v>
      </c>
      <c r="D768" t="s">
        <v>26</v>
      </c>
      <c r="E768" t="s">
        <v>22</v>
      </c>
      <c r="F768" t="s">
        <v>23</v>
      </c>
      <c r="G768">
        <v>10</v>
      </c>
      <c r="H768">
        <v>330</v>
      </c>
      <c r="I768">
        <v>3300</v>
      </c>
      <c r="J768">
        <v>1980</v>
      </c>
      <c r="K768">
        <v>1320</v>
      </c>
      <c r="L768" t="s">
        <v>28</v>
      </c>
      <c r="M768" t="s">
        <v>29</v>
      </c>
      <c r="N768" t="str">
        <f>IF(SalesTbl[[#This Row],[Profit]]&gt;180,"High Profit","Low Profit")</f>
        <v>High Profit</v>
      </c>
      <c r="O768" t="str">
        <f>TEXT(SalesTbl[[#This Row],[Date]],"mmm")</f>
        <v>Mar</v>
      </c>
    </row>
    <row r="769" spans="1:15" x14ac:dyDescent="0.3">
      <c r="A769">
        <v>1768</v>
      </c>
      <c r="B769" t="s">
        <v>52</v>
      </c>
      <c r="C769" t="s">
        <v>31</v>
      </c>
      <c r="D769" t="s">
        <v>15</v>
      </c>
      <c r="E769" t="s">
        <v>27</v>
      </c>
      <c r="F769" t="s">
        <v>17</v>
      </c>
      <c r="G769">
        <v>4</v>
      </c>
      <c r="H769">
        <v>672</v>
      </c>
      <c r="I769">
        <v>2688</v>
      </c>
      <c r="J769">
        <v>1666</v>
      </c>
      <c r="K769">
        <v>1022</v>
      </c>
      <c r="L769" t="s">
        <v>38</v>
      </c>
      <c r="M769" t="s">
        <v>29</v>
      </c>
      <c r="N769" t="str">
        <f>IF(SalesTbl[[#This Row],[Profit]]&gt;180,"High Profit","Low Profit")</f>
        <v>High Profit</v>
      </c>
      <c r="O769" t="str">
        <f>TEXT(SalesTbl[[#This Row],[Date]],"mmm")</f>
        <v>Mar</v>
      </c>
    </row>
    <row r="770" spans="1:15" x14ac:dyDescent="0.3">
      <c r="A770">
        <v>1769</v>
      </c>
      <c r="B770" t="s">
        <v>213</v>
      </c>
      <c r="C770" t="s">
        <v>14</v>
      </c>
      <c r="D770" t="s">
        <v>15</v>
      </c>
      <c r="E770" t="s">
        <v>54</v>
      </c>
      <c r="F770" t="s">
        <v>17</v>
      </c>
      <c r="G770">
        <v>2</v>
      </c>
      <c r="H770">
        <v>179</v>
      </c>
      <c r="I770">
        <v>358</v>
      </c>
      <c r="J770">
        <v>272</v>
      </c>
      <c r="K770">
        <v>86</v>
      </c>
      <c r="L770" t="s">
        <v>24</v>
      </c>
      <c r="M770" t="s">
        <v>29</v>
      </c>
      <c r="N770" t="str">
        <f>IF(SalesTbl[[#This Row],[Profit]]&gt;180,"High Profit","Low Profit")</f>
        <v>Low Profit</v>
      </c>
      <c r="O770" t="str">
        <f>TEXT(SalesTbl[[#This Row],[Date]],"mmm")</f>
        <v>Jun</v>
      </c>
    </row>
    <row r="771" spans="1:15" x14ac:dyDescent="0.3">
      <c r="A771">
        <v>1770</v>
      </c>
      <c r="B771" t="s">
        <v>182</v>
      </c>
      <c r="C771" t="s">
        <v>14</v>
      </c>
      <c r="D771" t="s">
        <v>35</v>
      </c>
      <c r="E771" t="s">
        <v>54</v>
      </c>
      <c r="F771" t="s">
        <v>17</v>
      </c>
      <c r="G771">
        <v>9</v>
      </c>
      <c r="H771">
        <v>650</v>
      </c>
      <c r="I771">
        <v>5850</v>
      </c>
      <c r="J771">
        <v>4504</v>
      </c>
      <c r="K771">
        <v>1346</v>
      </c>
      <c r="L771" t="s">
        <v>38</v>
      </c>
      <c r="M771" t="s">
        <v>19</v>
      </c>
      <c r="N771" t="str">
        <f>IF(SalesTbl[[#This Row],[Profit]]&gt;180,"High Profit","Low Profit")</f>
        <v>High Profit</v>
      </c>
      <c r="O771" t="str">
        <f>TEXT(SalesTbl[[#This Row],[Date]],"mmm")</f>
        <v>Mar</v>
      </c>
    </row>
    <row r="772" spans="1:15" x14ac:dyDescent="0.3">
      <c r="A772">
        <v>1771</v>
      </c>
      <c r="B772" t="s">
        <v>199</v>
      </c>
      <c r="C772" t="s">
        <v>40</v>
      </c>
      <c r="D772" t="s">
        <v>15</v>
      </c>
      <c r="E772" t="s">
        <v>48</v>
      </c>
      <c r="F772" t="s">
        <v>23</v>
      </c>
      <c r="G772">
        <v>8</v>
      </c>
      <c r="H772">
        <v>535</v>
      </c>
      <c r="I772">
        <v>4280</v>
      </c>
      <c r="J772">
        <v>3381</v>
      </c>
      <c r="K772">
        <v>899</v>
      </c>
      <c r="L772" t="s">
        <v>33</v>
      </c>
      <c r="M772" t="s">
        <v>19</v>
      </c>
      <c r="N772" t="str">
        <f>IF(SalesTbl[[#This Row],[Profit]]&gt;180,"High Profit","Low Profit")</f>
        <v>High Profit</v>
      </c>
      <c r="O772" t="str">
        <f>TEXT(SalesTbl[[#This Row],[Date]],"mmm")</f>
        <v>Apr</v>
      </c>
    </row>
    <row r="773" spans="1:15" x14ac:dyDescent="0.3">
      <c r="A773">
        <v>1772</v>
      </c>
      <c r="B773" t="s">
        <v>121</v>
      </c>
      <c r="C773" t="s">
        <v>14</v>
      </c>
      <c r="D773" t="s">
        <v>15</v>
      </c>
      <c r="E773" t="s">
        <v>27</v>
      </c>
      <c r="F773" t="s">
        <v>17</v>
      </c>
      <c r="G773">
        <v>1</v>
      </c>
      <c r="H773">
        <v>799</v>
      </c>
      <c r="I773">
        <v>799</v>
      </c>
      <c r="J773">
        <v>631</v>
      </c>
      <c r="K773">
        <v>168</v>
      </c>
      <c r="L773" t="s">
        <v>18</v>
      </c>
      <c r="M773" t="s">
        <v>29</v>
      </c>
      <c r="N773" t="str">
        <f>IF(SalesTbl[[#This Row],[Profit]]&gt;180,"High Profit","Low Profit")</f>
        <v>Low Profit</v>
      </c>
      <c r="O773" t="str">
        <f>TEXT(SalesTbl[[#This Row],[Date]],"mmm")</f>
        <v>Feb</v>
      </c>
    </row>
    <row r="774" spans="1:15" x14ac:dyDescent="0.3">
      <c r="A774">
        <v>1773</v>
      </c>
      <c r="B774" t="s">
        <v>176</v>
      </c>
      <c r="C774" t="s">
        <v>14</v>
      </c>
      <c r="D774" t="s">
        <v>15</v>
      </c>
      <c r="E774" t="s">
        <v>41</v>
      </c>
      <c r="F774" t="s">
        <v>17</v>
      </c>
      <c r="G774">
        <v>4</v>
      </c>
      <c r="H774">
        <v>730</v>
      </c>
      <c r="I774">
        <v>2920</v>
      </c>
      <c r="J774">
        <v>2044</v>
      </c>
      <c r="K774">
        <v>876</v>
      </c>
      <c r="L774" t="s">
        <v>33</v>
      </c>
      <c r="M774" t="s">
        <v>29</v>
      </c>
      <c r="N774" t="str">
        <f>IF(SalesTbl[[#This Row],[Profit]]&gt;180,"High Profit","Low Profit")</f>
        <v>High Profit</v>
      </c>
      <c r="O774" t="str">
        <f>TEXT(SalesTbl[[#This Row],[Date]],"mmm")</f>
        <v>Jan</v>
      </c>
    </row>
    <row r="775" spans="1:15" x14ac:dyDescent="0.3">
      <c r="A775">
        <v>1774</v>
      </c>
      <c r="B775" t="s">
        <v>20</v>
      </c>
      <c r="C775" t="s">
        <v>31</v>
      </c>
      <c r="D775" t="s">
        <v>35</v>
      </c>
      <c r="E775" t="s">
        <v>41</v>
      </c>
      <c r="F775" t="s">
        <v>17</v>
      </c>
      <c r="G775">
        <v>1</v>
      </c>
      <c r="H775">
        <v>214</v>
      </c>
      <c r="I775">
        <v>214</v>
      </c>
      <c r="J775">
        <v>164</v>
      </c>
      <c r="K775">
        <v>50</v>
      </c>
      <c r="L775" t="s">
        <v>18</v>
      </c>
      <c r="M775" t="s">
        <v>29</v>
      </c>
      <c r="N775" t="str">
        <f>IF(SalesTbl[[#This Row],[Profit]]&gt;180,"High Profit","Low Profit")</f>
        <v>Low Profit</v>
      </c>
      <c r="O775" t="str">
        <f>TEXT(SalesTbl[[#This Row],[Date]],"mmm")</f>
        <v>May</v>
      </c>
    </row>
    <row r="776" spans="1:15" x14ac:dyDescent="0.3">
      <c r="A776">
        <v>1775</v>
      </c>
      <c r="B776" t="s">
        <v>177</v>
      </c>
      <c r="C776" t="s">
        <v>14</v>
      </c>
      <c r="D776" t="s">
        <v>32</v>
      </c>
      <c r="E776" t="s">
        <v>22</v>
      </c>
      <c r="F776" t="s">
        <v>23</v>
      </c>
      <c r="G776">
        <v>6</v>
      </c>
      <c r="H776">
        <v>490</v>
      </c>
      <c r="I776">
        <v>2940</v>
      </c>
      <c r="J776">
        <v>1793</v>
      </c>
      <c r="K776">
        <v>1147</v>
      </c>
      <c r="L776" t="s">
        <v>28</v>
      </c>
      <c r="M776" t="s">
        <v>19</v>
      </c>
      <c r="N776" t="str">
        <f>IF(SalesTbl[[#This Row],[Profit]]&gt;180,"High Profit","Low Profit")</f>
        <v>High Profit</v>
      </c>
      <c r="O776" t="str">
        <f>TEXT(SalesTbl[[#This Row],[Date]],"mmm")</f>
        <v>Feb</v>
      </c>
    </row>
    <row r="777" spans="1:15" x14ac:dyDescent="0.3">
      <c r="A777">
        <v>1776</v>
      </c>
      <c r="B777" t="s">
        <v>158</v>
      </c>
      <c r="C777" t="s">
        <v>21</v>
      </c>
      <c r="D777" t="s">
        <v>32</v>
      </c>
      <c r="E777" t="s">
        <v>16</v>
      </c>
      <c r="F777" t="s">
        <v>17</v>
      </c>
      <c r="G777">
        <v>5</v>
      </c>
      <c r="H777">
        <v>103</v>
      </c>
      <c r="I777">
        <v>515</v>
      </c>
      <c r="J777">
        <v>355</v>
      </c>
      <c r="K777">
        <v>160</v>
      </c>
      <c r="L777" t="s">
        <v>38</v>
      </c>
      <c r="M777" t="s">
        <v>29</v>
      </c>
      <c r="N777" t="str">
        <f>IF(SalesTbl[[#This Row],[Profit]]&gt;180,"High Profit","Low Profit")</f>
        <v>Low Profit</v>
      </c>
      <c r="O777" t="str">
        <f>TEXT(SalesTbl[[#This Row],[Date]],"mmm")</f>
        <v>Feb</v>
      </c>
    </row>
    <row r="778" spans="1:15" x14ac:dyDescent="0.3">
      <c r="A778">
        <v>1777</v>
      </c>
      <c r="B778" t="s">
        <v>168</v>
      </c>
      <c r="C778" t="s">
        <v>40</v>
      </c>
      <c r="D778" t="s">
        <v>15</v>
      </c>
      <c r="E778" t="s">
        <v>48</v>
      </c>
      <c r="F778" t="s">
        <v>23</v>
      </c>
      <c r="G778">
        <v>6</v>
      </c>
      <c r="H778">
        <v>981</v>
      </c>
      <c r="I778">
        <v>5886</v>
      </c>
      <c r="J778">
        <v>4237</v>
      </c>
      <c r="K778">
        <v>1649</v>
      </c>
      <c r="L778" t="s">
        <v>24</v>
      </c>
      <c r="M778" t="s">
        <v>29</v>
      </c>
      <c r="N778" t="str">
        <f>IF(SalesTbl[[#This Row],[Profit]]&gt;180,"High Profit","Low Profit")</f>
        <v>High Profit</v>
      </c>
      <c r="O778" t="str">
        <f>TEXT(SalesTbl[[#This Row],[Date]],"mmm")</f>
        <v>Mar</v>
      </c>
    </row>
    <row r="779" spans="1:15" x14ac:dyDescent="0.3">
      <c r="A779">
        <v>1561</v>
      </c>
      <c r="B779" t="s">
        <v>67</v>
      </c>
      <c r="C779" t="s">
        <v>40</v>
      </c>
      <c r="D779" t="s">
        <v>26</v>
      </c>
      <c r="E779" t="s">
        <v>41</v>
      </c>
      <c r="F779" t="s">
        <v>17</v>
      </c>
      <c r="G779">
        <v>1</v>
      </c>
      <c r="H779">
        <v>835</v>
      </c>
      <c r="I779">
        <v>835</v>
      </c>
      <c r="J779">
        <v>559</v>
      </c>
      <c r="K779">
        <v>276</v>
      </c>
      <c r="L779" t="s">
        <v>28</v>
      </c>
      <c r="M779" t="s">
        <v>29</v>
      </c>
      <c r="N779" t="str">
        <f>IF(SalesTbl[[#This Row],[Profit]]&gt;180,"High Profit","Low Profit")</f>
        <v>High Profit</v>
      </c>
      <c r="O779" t="str">
        <f>TEXT(SalesTbl[[#This Row],[Date]],"mmm")</f>
        <v>Mar</v>
      </c>
    </row>
    <row r="780" spans="1:15" x14ac:dyDescent="0.3">
      <c r="A780">
        <v>1538</v>
      </c>
      <c r="B780" t="s">
        <v>151</v>
      </c>
      <c r="C780" t="s">
        <v>40</v>
      </c>
      <c r="D780" t="s">
        <v>35</v>
      </c>
      <c r="E780" t="s">
        <v>27</v>
      </c>
      <c r="F780" t="s">
        <v>17</v>
      </c>
      <c r="G780">
        <v>3</v>
      </c>
      <c r="H780">
        <v>303</v>
      </c>
      <c r="I780">
        <v>909</v>
      </c>
      <c r="J780">
        <v>654</v>
      </c>
      <c r="K780">
        <v>255</v>
      </c>
      <c r="L780" t="s">
        <v>28</v>
      </c>
      <c r="M780" t="s">
        <v>19</v>
      </c>
      <c r="N780" t="str">
        <f>IF(SalesTbl[[#This Row],[Profit]]&gt;180,"High Profit","Low Profit")</f>
        <v>High Profit</v>
      </c>
      <c r="O780" t="str">
        <f>TEXT(SalesTbl[[#This Row],[Date]],"mmm")</f>
        <v>Jan</v>
      </c>
    </row>
    <row r="781" spans="1:15" x14ac:dyDescent="0.3">
      <c r="A781">
        <v>1780</v>
      </c>
      <c r="B781" t="s">
        <v>150</v>
      </c>
      <c r="C781" t="s">
        <v>14</v>
      </c>
      <c r="D781" t="s">
        <v>26</v>
      </c>
      <c r="E781" t="s">
        <v>54</v>
      </c>
      <c r="F781" t="s">
        <v>17</v>
      </c>
      <c r="G781">
        <v>3</v>
      </c>
      <c r="H781">
        <v>694</v>
      </c>
      <c r="I781">
        <v>2082</v>
      </c>
      <c r="J781">
        <v>1623</v>
      </c>
      <c r="K781">
        <v>459</v>
      </c>
      <c r="L781" t="s">
        <v>28</v>
      </c>
      <c r="M781" t="s">
        <v>29</v>
      </c>
      <c r="N781" t="str">
        <f>IF(SalesTbl[[#This Row],[Profit]]&gt;180,"High Profit","Low Profit")</f>
        <v>High Profit</v>
      </c>
      <c r="O781" t="str">
        <f>TEXT(SalesTbl[[#This Row],[Date]],"mmm")</f>
        <v>Jun</v>
      </c>
    </row>
    <row r="782" spans="1:15" x14ac:dyDescent="0.3">
      <c r="A782">
        <v>1781</v>
      </c>
      <c r="B782" t="s">
        <v>68</v>
      </c>
      <c r="C782" t="s">
        <v>31</v>
      </c>
      <c r="D782" t="s">
        <v>32</v>
      </c>
      <c r="E782" t="s">
        <v>41</v>
      </c>
      <c r="F782" t="s">
        <v>17</v>
      </c>
      <c r="G782">
        <v>3</v>
      </c>
      <c r="H782">
        <v>583</v>
      </c>
      <c r="I782">
        <v>1749</v>
      </c>
      <c r="J782">
        <v>1101</v>
      </c>
      <c r="K782">
        <v>648</v>
      </c>
      <c r="L782" t="s">
        <v>28</v>
      </c>
      <c r="M782" t="s">
        <v>19</v>
      </c>
      <c r="N782" t="str">
        <f>IF(SalesTbl[[#This Row],[Profit]]&gt;180,"High Profit","Low Profit")</f>
        <v>High Profit</v>
      </c>
      <c r="O782" t="str">
        <f>TEXT(SalesTbl[[#This Row],[Date]],"mmm")</f>
        <v>Apr</v>
      </c>
    </row>
    <row r="783" spans="1:15" x14ac:dyDescent="0.3">
      <c r="A783">
        <v>1242</v>
      </c>
      <c r="B783" t="s">
        <v>53</v>
      </c>
      <c r="C783" t="s">
        <v>40</v>
      </c>
      <c r="D783" t="s">
        <v>26</v>
      </c>
      <c r="E783" t="s">
        <v>54</v>
      </c>
      <c r="F783" t="s">
        <v>17</v>
      </c>
      <c r="G783">
        <v>2</v>
      </c>
      <c r="H783">
        <v>538</v>
      </c>
      <c r="I783">
        <v>1076</v>
      </c>
      <c r="J783">
        <v>828</v>
      </c>
      <c r="K783">
        <v>248</v>
      </c>
      <c r="L783" t="s">
        <v>38</v>
      </c>
      <c r="M783" t="s">
        <v>19</v>
      </c>
      <c r="N783" t="str">
        <f>IF(SalesTbl[[#This Row],[Profit]]&gt;180,"High Profit","Low Profit")</f>
        <v>High Profit</v>
      </c>
      <c r="O783" t="str">
        <f>TEXT(SalesTbl[[#This Row],[Date]],"mmm")</f>
        <v>Apr</v>
      </c>
    </row>
    <row r="784" spans="1:15" x14ac:dyDescent="0.3">
      <c r="A784">
        <v>1960</v>
      </c>
      <c r="B784" t="s">
        <v>195</v>
      </c>
      <c r="C784" t="s">
        <v>40</v>
      </c>
      <c r="D784" t="s">
        <v>26</v>
      </c>
      <c r="E784" t="s">
        <v>16</v>
      </c>
      <c r="F784" t="s">
        <v>17</v>
      </c>
      <c r="G784">
        <v>1</v>
      </c>
      <c r="H784">
        <v>728</v>
      </c>
      <c r="I784">
        <v>728</v>
      </c>
      <c r="J784">
        <v>480</v>
      </c>
      <c r="K784">
        <v>248</v>
      </c>
      <c r="L784" t="s">
        <v>24</v>
      </c>
      <c r="M784" t="s">
        <v>19</v>
      </c>
      <c r="N784" t="str">
        <f>IF(SalesTbl[[#This Row],[Profit]]&gt;180,"High Profit","Low Profit")</f>
        <v>High Profit</v>
      </c>
      <c r="O784" t="str">
        <f>TEXT(SalesTbl[[#This Row],[Date]],"mmm")</f>
        <v>Feb</v>
      </c>
    </row>
    <row r="785" spans="1:15" x14ac:dyDescent="0.3">
      <c r="A785">
        <v>1784</v>
      </c>
      <c r="B785" t="s">
        <v>138</v>
      </c>
      <c r="C785" t="s">
        <v>21</v>
      </c>
      <c r="D785" t="s">
        <v>15</v>
      </c>
      <c r="E785" t="s">
        <v>27</v>
      </c>
      <c r="F785" t="s">
        <v>17</v>
      </c>
      <c r="G785">
        <v>2</v>
      </c>
      <c r="H785">
        <v>443</v>
      </c>
      <c r="I785">
        <v>886</v>
      </c>
      <c r="J785">
        <v>531</v>
      </c>
      <c r="K785">
        <v>355</v>
      </c>
      <c r="L785" t="s">
        <v>24</v>
      </c>
      <c r="M785" t="s">
        <v>19</v>
      </c>
      <c r="N785" t="str">
        <f>IF(SalesTbl[[#This Row],[Profit]]&gt;180,"High Profit","Low Profit")</f>
        <v>High Profit</v>
      </c>
      <c r="O785" t="str">
        <f>TEXT(SalesTbl[[#This Row],[Date]],"mmm")</f>
        <v>May</v>
      </c>
    </row>
    <row r="786" spans="1:15" x14ac:dyDescent="0.3">
      <c r="A786">
        <v>1785</v>
      </c>
      <c r="B786" t="s">
        <v>188</v>
      </c>
      <c r="C786" t="s">
        <v>31</v>
      </c>
      <c r="D786" t="s">
        <v>26</v>
      </c>
      <c r="E786" t="s">
        <v>16</v>
      </c>
      <c r="F786" t="s">
        <v>17</v>
      </c>
      <c r="G786">
        <v>10</v>
      </c>
      <c r="H786">
        <v>535</v>
      </c>
      <c r="I786">
        <v>5350</v>
      </c>
      <c r="J786">
        <v>3959</v>
      </c>
      <c r="K786">
        <v>1391</v>
      </c>
      <c r="L786" t="s">
        <v>38</v>
      </c>
      <c r="M786" t="s">
        <v>29</v>
      </c>
      <c r="N786" t="str">
        <f>IF(SalesTbl[[#This Row],[Profit]]&gt;180,"High Profit","Low Profit")</f>
        <v>High Profit</v>
      </c>
      <c r="O786" t="str">
        <f>TEXT(SalesTbl[[#This Row],[Date]],"mmm")</f>
        <v>Jun</v>
      </c>
    </row>
    <row r="787" spans="1:15" x14ac:dyDescent="0.3">
      <c r="A787">
        <v>1786</v>
      </c>
      <c r="B787" t="s">
        <v>93</v>
      </c>
      <c r="C787" t="s">
        <v>31</v>
      </c>
      <c r="D787" t="s">
        <v>15</v>
      </c>
      <c r="E787" t="s">
        <v>22</v>
      </c>
      <c r="F787" t="s">
        <v>23</v>
      </c>
      <c r="G787">
        <v>8</v>
      </c>
      <c r="H787">
        <v>360</v>
      </c>
      <c r="I787">
        <v>2880</v>
      </c>
      <c r="J787">
        <v>2246</v>
      </c>
      <c r="K787">
        <v>634</v>
      </c>
      <c r="L787" t="s">
        <v>33</v>
      </c>
      <c r="M787" t="s">
        <v>29</v>
      </c>
      <c r="N787" t="str">
        <f>IF(SalesTbl[[#This Row],[Profit]]&gt;180,"High Profit","Low Profit")</f>
        <v>High Profit</v>
      </c>
      <c r="O787" t="str">
        <f>TEXT(SalesTbl[[#This Row],[Date]],"mmm")</f>
        <v>Jun</v>
      </c>
    </row>
    <row r="788" spans="1:15" x14ac:dyDescent="0.3">
      <c r="A788">
        <v>1787</v>
      </c>
      <c r="B788" t="s">
        <v>13</v>
      </c>
      <c r="C788" t="s">
        <v>31</v>
      </c>
      <c r="D788" t="s">
        <v>15</v>
      </c>
      <c r="E788" t="s">
        <v>54</v>
      </c>
      <c r="F788" t="s">
        <v>17</v>
      </c>
      <c r="G788">
        <v>1</v>
      </c>
      <c r="H788">
        <v>101</v>
      </c>
      <c r="I788">
        <v>101</v>
      </c>
      <c r="J788">
        <v>63</v>
      </c>
      <c r="K788">
        <v>38</v>
      </c>
      <c r="L788" t="s">
        <v>28</v>
      </c>
      <c r="M788" t="s">
        <v>19</v>
      </c>
      <c r="N788" t="str">
        <f>IF(SalesTbl[[#This Row],[Profit]]&gt;180,"High Profit","Low Profit")</f>
        <v>Low Profit</v>
      </c>
      <c r="O788" t="str">
        <f>TEXT(SalesTbl[[#This Row],[Date]],"mmm")</f>
        <v>Feb</v>
      </c>
    </row>
    <row r="789" spans="1:15" x14ac:dyDescent="0.3">
      <c r="A789">
        <v>1788</v>
      </c>
      <c r="B789" t="s">
        <v>129</v>
      </c>
      <c r="C789" t="s">
        <v>31</v>
      </c>
      <c r="D789" t="s">
        <v>35</v>
      </c>
      <c r="E789" t="s">
        <v>16</v>
      </c>
      <c r="F789" t="s">
        <v>17</v>
      </c>
      <c r="G789">
        <v>8</v>
      </c>
      <c r="H789">
        <v>818</v>
      </c>
      <c r="I789">
        <v>6544</v>
      </c>
      <c r="J789">
        <v>4122</v>
      </c>
      <c r="K789">
        <v>2422</v>
      </c>
      <c r="L789" t="s">
        <v>28</v>
      </c>
      <c r="M789" t="s">
        <v>29</v>
      </c>
      <c r="N789" t="str">
        <f>IF(SalesTbl[[#This Row],[Profit]]&gt;180,"High Profit","Low Profit")</f>
        <v>High Profit</v>
      </c>
      <c r="O789" t="str">
        <f>TEXT(SalesTbl[[#This Row],[Date]],"mmm")</f>
        <v>Mar</v>
      </c>
    </row>
    <row r="790" spans="1:15" x14ac:dyDescent="0.3">
      <c r="A790">
        <v>1789</v>
      </c>
      <c r="B790" t="s">
        <v>130</v>
      </c>
      <c r="C790" t="s">
        <v>14</v>
      </c>
      <c r="D790" t="s">
        <v>32</v>
      </c>
      <c r="E790" t="s">
        <v>22</v>
      </c>
      <c r="F790" t="s">
        <v>23</v>
      </c>
      <c r="G790">
        <v>6</v>
      </c>
      <c r="H790">
        <v>845</v>
      </c>
      <c r="I790">
        <v>5070</v>
      </c>
      <c r="J790">
        <v>3802</v>
      </c>
      <c r="K790">
        <v>1268</v>
      </c>
      <c r="L790" t="s">
        <v>18</v>
      </c>
      <c r="M790" t="s">
        <v>19</v>
      </c>
      <c r="N790" t="str">
        <f>IF(SalesTbl[[#This Row],[Profit]]&gt;180,"High Profit","Low Profit")</f>
        <v>High Profit</v>
      </c>
      <c r="O790" t="str">
        <f>TEXT(SalesTbl[[#This Row],[Date]],"mmm")</f>
        <v>Mar</v>
      </c>
    </row>
    <row r="791" spans="1:15" x14ac:dyDescent="0.3">
      <c r="A791">
        <v>1790</v>
      </c>
      <c r="B791" t="s">
        <v>136</v>
      </c>
      <c r="C791" t="s">
        <v>31</v>
      </c>
      <c r="D791" t="s">
        <v>32</v>
      </c>
      <c r="E791" t="s">
        <v>54</v>
      </c>
      <c r="F791" t="s">
        <v>17</v>
      </c>
      <c r="G791">
        <v>7</v>
      </c>
      <c r="H791">
        <v>132</v>
      </c>
      <c r="I791">
        <v>924</v>
      </c>
      <c r="J791">
        <v>665</v>
      </c>
      <c r="K791">
        <v>259</v>
      </c>
      <c r="L791" t="s">
        <v>18</v>
      </c>
      <c r="M791" t="s">
        <v>29</v>
      </c>
      <c r="N791" t="str">
        <f>IF(SalesTbl[[#This Row],[Profit]]&gt;180,"High Profit","Low Profit")</f>
        <v>High Profit</v>
      </c>
      <c r="O791" t="str">
        <f>TEXT(SalesTbl[[#This Row],[Date]],"mmm")</f>
        <v>Feb</v>
      </c>
    </row>
    <row r="792" spans="1:15" x14ac:dyDescent="0.3">
      <c r="A792">
        <v>1791</v>
      </c>
      <c r="B792" t="s">
        <v>132</v>
      </c>
      <c r="C792" t="s">
        <v>14</v>
      </c>
      <c r="D792" t="s">
        <v>32</v>
      </c>
      <c r="E792" t="s">
        <v>48</v>
      </c>
      <c r="F792" t="s">
        <v>23</v>
      </c>
      <c r="G792">
        <v>2</v>
      </c>
      <c r="H792">
        <v>531</v>
      </c>
      <c r="I792">
        <v>1062</v>
      </c>
      <c r="J792">
        <v>743</v>
      </c>
      <c r="K792">
        <v>319</v>
      </c>
      <c r="L792" t="s">
        <v>33</v>
      </c>
      <c r="M792" t="s">
        <v>29</v>
      </c>
      <c r="N792" t="str">
        <f>IF(SalesTbl[[#This Row],[Profit]]&gt;180,"High Profit","Low Profit")</f>
        <v>High Profit</v>
      </c>
      <c r="O792" t="str">
        <f>TEXT(SalesTbl[[#This Row],[Date]],"mmm")</f>
        <v>Jan</v>
      </c>
    </row>
    <row r="793" spans="1:15" x14ac:dyDescent="0.3">
      <c r="A793">
        <v>1792</v>
      </c>
      <c r="B793" t="s">
        <v>95</v>
      </c>
      <c r="C793" t="s">
        <v>21</v>
      </c>
      <c r="D793" t="s">
        <v>15</v>
      </c>
      <c r="E793" t="s">
        <v>22</v>
      </c>
      <c r="F793" t="s">
        <v>23</v>
      </c>
      <c r="G793">
        <v>10</v>
      </c>
      <c r="H793">
        <v>944</v>
      </c>
      <c r="I793">
        <v>9440</v>
      </c>
      <c r="J793">
        <v>6041</v>
      </c>
      <c r="K793">
        <v>3399</v>
      </c>
      <c r="L793" t="s">
        <v>24</v>
      </c>
      <c r="M793" t="s">
        <v>19</v>
      </c>
      <c r="N793" t="str">
        <f>IF(SalesTbl[[#This Row],[Profit]]&gt;180,"High Profit","Low Profit")</f>
        <v>High Profit</v>
      </c>
      <c r="O793" t="str">
        <f>TEXT(SalesTbl[[#This Row],[Date]],"mmm")</f>
        <v>Feb</v>
      </c>
    </row>
    <row r="794" spans="1:15" x14ac:dyDescent="0.3">
      <c r="A794">
        <v>1793</v>
      </c>
      <c r="B794" t="s">
        <v>97</v>
      </c>
      <c r="C794" t="s">
        <v>14</v>
      </c>
      <c r="D794" t="s">
        <v>26</v>
      </c>
      <c r="E794" t="s">
        <v>16</v>
      </c>
      <c r="F794" t="s">
        <v>17</v>
      </c>
      <c r="G794">
        <v>4</v>
      </c>
      <c r="H794">
        <v>674</v>
      </c>
      <c r="I794">
        <v>2696</v>
      </c>
      <c r="J794">
        <v>1671</v>
      </c>
      <c r="K794">
        <v>1025</v>
      </c>
      <c r="L794" t="s">
        <v>38</v>
      </c>
      <c r="M794" t="s">
        <v>19</v>
      </c>
      <c r="N794" t="str">
        <f>IF(SalesTbl[[#This Row],[Profit]]&gt;180,"High Profit","Low Profit")</f>
        <v>High Profit</v>
      </c>
      <c r="O794" t="str">
        <f>TEXT(SalesTbl[[#This Row],[Date]],"mmm")</f>
        <v>Apr</v>
      </c>
    </row>
    <row r="795" spans="1:15" x14ac:dyDescent="0.3">
      <c r="A795">
        <v>1794</v>
      </c>
      <c r="B795" t="s">
        <v>90</v>
      </c>
      <c r="C795" t="s">
        <v>40</v>
      </c>
      <c r="D795" t="s">
        <v>15</v>
      </c>
      <c r="E795" t="s">
        <v>48</v>
      </c>
      <c r="F795" t="s">
        <v>23</v>
      </c>
      <c r="G795">
        <v>10</v>
      </c>
      <c r="H795">
        <v>453</v>
      </c>
      <c r="I795">
        <v>4530</v>
      </c>
      <c r="J795">
        <v>2763</v>
      </c>
      <c r="K795">
        <v>1767</v>
      </c>
      <c r="L795" t="s">
        <v>38</v>
      </c>
      <c r="M795" t="s">
        <v>29</v>
      </c>
      <c r="N795" t="str">
        <f>IF(SalesTbl[[#This Row],[Profit]]&gt;180,"High Profit","Low Profit")</f>
        <v>High Profit</v>
      </c>
      <c r="O795" t="str">
        <f>TEXT(SalesTbl[[#This Row],[Date]],"mmm")</f>
        <v>Jan</v>
      </c>
    </row>
    <row r="796" spans="1:15" x14ac:dyDescent="0.3">
      <c r="A796">
        <v>1795</v>
      </c>
      <c r="B796" t="s">
        <v>208</v>
      </c>
      <c r="C796" t="s">
        <v>21</v>
      </c>
      <c r="D796" t="s">
        <v>26</v>
      </c>
      <c r="E796" t="s">
        <v>16</v>
      </c>
      <c r="F796" t="s">
        <v>17</v>
      </c>
      <c r="G796">
        <v>2</v>
      </c>
      <c r="H796">
        <v>546</v>
      </c>
      <c r="I796">
        <v>1092</v>
      </c>
      <c r="J796">
        <v>677</v>
      </c>
      <c r="K796">
        <v>415</v>
      </c>
      <c r="L796" t="s">
        <v>18</v>
      </c>
      <c r="M796" t="s">
        <v>29</v>
      </c>
      <c r="N796" t="str">
        <f>IF(SalesTbl[[#This Row],[Profit]]&gt;180,"High Profit","Low Profit")</f>
        <v>High Profit</v>
      </c>
      <c r="O796" t="str">
        <f>TEXT(SalesTbl[[#This Row],[Date]],"mmm")</f>
        <v>Jun</v>
      </c>
    </row>
    <row r="797" spans="1:15" x14ac:dyDescent="0.3">
      <c r="A797">
        <v>1796</v>
      </c>
      <c r="B797" t="s">
        <v>160</v>
      </c>
      <c r="C797" t="s">
        <v>21</v>
      </c>
      <c r="D797" t="s">
        <v>35</v>
      </c>
      <c r="E797" t="s">
        <v>48</v>
      </c>
      <c r="F797" t="s">
        <v>23</v>
      </c>
      <c r="G797">
        <v>10</v>
      </c>
      <c r="H797">
        <v>937</v>
      </c>
      <c r="I797">
        <v>9370</v>
      </c>
      <c r="J797">
        <v>7214</v>
      </c>
      <c r="K797">
        <v>2156</v>
      </c>
      <c r="L797" t="s">
        <v>24</v>
      </c>
      <c r="M797" t="s">
        <v>29</v>
      </c>
      <c r="N797" t="str">
        <f>IF(SalesTbl[[#This Row],[Profit]]&gt;180,"High Profit","Low Profit")</f>
        <v>High Profit</v>
      </c>
      <c r="O797" t="str">
        <f>TEXT(SalesTbl[[#This Row],[Date]],"mmm")</f>
        <v>Jan</v>
      </c>
    </row>
    <row r="798" spans="1:15" x14ac:dyDescent="0.3">
      <c r="A798">
        <v>1944</v>
      </c>
      <c r="B798" t="s">
        <v>128</v>
      </c>
      <c r="C798" t="s">
        <v>40</v>
      </c>
      <c r="D798" t="s">
        <v>26</v>
      </c>
      <c r="E798" t="s">
        <v>41</v>
      </c>
      <c r="F798" t="s">
        <v>17</v>
      </c>
      <c r="G798">
        <v>2</v>
      </c>
      <c r="H798">
        <v>316</v>
      </c>
      <c r="I798">
        <v>632</v>
      </c>
      <c r="J798">
        <v>391</v>
      </c>
      <c r="K798">
        <v>241</v>
      </c>
      <c r="L798" t="s">
        <v>28</v>
      </c>
      <c r="M798" t="s">
        <v>19</v>
      </c>
      <c r="N798" t="str">
        <f>IF(SalesTbl[[#This Row],[Profit]]&gt;180,"High Profit","Low Profit")</f>
        <v>High Profit</v>
      </c>
      <c r="O798" t="str">
        <f>TEXT(SalesTbl[[#This Row],[Date]],"mmm")</f>
        <v>Jan</v>
      </c>
    </row>
    <row r="799" spans="1:15" x14ac:dyDescent="0.3">
      <c r="A799">
        <v>1160</v>
      </c>
      <c r="B799" t="s">
        <v>73</v>
      </c>
      <c r="C799" t="s">
        <v>40</v>
      </c>
      <c r="D799" t="s">
        <v>32</v>
      </c>
      <c r="E799" t="s">
        <v>41</v>
      </c>
      <c r="F799" t="s">
        <v>17</v>
      </c>
      <c r="G799">
        <v>5</v>
      </c>
      <c r="H799">
        <v>161</v>
      </c>
      <c r="I799">
        <v>805</v>
      </c>
      <c r="J799">
        <v>571</v>
      </c>
      <c r="K799">
        <v>234</v>
      </c>
      <c r="L799" t="s">
        <v>38</v>
      </c>
      <c r="M799" t="s">
        <v>19</v>
      </c>
      <c r="N799" t="str">
        <f>IF(SalesTbl[[#This Row],[Profit]]&gt;180,"High Profit","Low Profit")</f>
        <v>High Profit</v>
      </c>
      <c r="O799" t="str">
        <f>TEXT(SalesTbl[[#This Row],[Date]],"mmm")</f>
        <v>Jun</v>
      </c>
    </row>
    <row r="800" spans="1:15" x14ac:dyDescent="0.3">
      <c r="A800">
        <v>1799</v>
      </c>
      <c r="B800" t="s">
        <v>136</v>
      </c>
      <c r="C800" t="s">
        <v>21</v>
      </c>
      <c r="D800" t="s">
        <v>32</v>
      </c>
      <c r="E800" t="s">
        <v>54</v>
      </c>
      <c r="F800" t="s">
        <v>17</v>
      </c>
      <c r="G800">
        <v>7</v>
      </c>
      <c r="H800">
        <v>679</v>
      </c>
      <c r="I800">
        <v>4753</v>
      </c>
      <c r="J800">
        <v>3802</v>
      </c>
      <c r="K800">
        <v>951</v>
      </c>
      <c r="L800" t="s">
        <v>38</v>
      </c>
      <c r="M800" t="s">
        <v>29</v>
      </c>
      <c r="N800" t="str">
        <f>IF(SalesTbl[[#This Row],[Profit]]&gt;180,"High Profit","Low Profit")</f>
        <v>High Profit</v>
      </c>
      <c r="O800" t="str">
        <f>TEXT(SalesTbl[[#This Row],[Date]],"mmm")</f>
        <v>Feb</v>
      </c>
    </row>
    <row r="801" spans="1:15" x14ac:dyDescent="0.3">
      <c r="A801">
        <v>1800</v>
      </c>
      <c r="B801" t="s">
        <v>25</v>
      </c>
      <c r="C801" t="s">
        <v>21</v>
      </c>
      <c r="D801" t="s">
        <v>32</v>
      </c>
      <c r="E801" t="s">
        <v>27</v>
      </c>
      <c r="F801" t="s">
        <v>17</v>
      </c>
      <c r="G801">
        <v>4</v>
      </c>
      <c r="H801">
        <v>283</v>
      </c>
      <c r="I801">
        <v>1132</v>
      </c>
      <c r="J801">
        <v>713</v>
      </c>
      <c r="K801">
        <v>419</v>
      </c>
      <c r="L801" t="s">
        <v>33</v>
      </c>
      <c r="M801" t="s">
        <v>29</v>
      </c>
      <c r="N801" t="str">
        <f>IF(SalesTbl[[#This Row],[Profit]]&gt;180,"High Profit","Low Profit")</f>
        <v>High Profit</v>
      </c>
      <c r="O801" t="str">
        <f>TEXT(SalesTbl[[#This Row],[Date]],"mmm")</f>
        <v>Feb</v>
      </c>
    </row>
    <row r="802" spans="1:15" x14ac:dyDescent="0.3">
      <c r="A802">
        <v>1801</v>
      </c>
      <c r="B802" t="s">
        <v>185</v>
      </c>
      <c r="C802" t="s">
        <v>31</v>
      </c>
      <c r="D802" t="s">
        <v>32</v>
      </c>
      <c r="E802" t="s">
        <v>22</v>
      </c>
      <c r="F802" t="s">
        <v>23</v>
      </c>
      <c r="G802">
        <v>4</v>
      </c>
      <c r="H802">
        <v>96</v>
      </c>
      <c r="I802">
        <v>384</v>
      </c>
      <c r="J802">
        <v>303</v>
      </c>
      <c r="K802">
        <v>81</v>
      </c>
      <c r="L802" t="s">
        <v>38</v>
      </c>
      <c r="M802" t="s">
        <v>19</v>
      </c>
      <c r="N802" t="str">
        <f>IF(SalesTbl[[#This Row],[Profit]]&gt;180,"High Profit","Low Profit")</f>
        <v>Low Profit</v>
      </c>
      <c r="O802" t="str">
        <f>TEXT(SalesTbl[[#This Row],[Date]],"mmm")</f>
        <v>Jun</v>
      </c>
    </row>
    <row r="803" spans="1:15" x14ac:dyDescent="0.3">
      <c r="A803">
        <v>1802</v>
      </c>
      <c r="B803" t="s">
        <v>153</v>
      </c>
      <c r="C803" t="s">
        <v>31</v>
      </c>
      <c r="D803" t="s">
        <v>26</v>
      </c>
      <c r="E803" t="s">
        <v>41</v>
      </c>
      <c r="F803" t="s">
        <v>17</v>
      </c>
      <c r="G803">
        <v>9</v>
      </c>
      <c r="H803">
        <v>175</v>
      </c>
      <c r="I803">
        <v>1575</v>
      </c>
      <c r="J803">
        <v>1023</v>
      </c>
      <c r="K803">
        <v>552</v>
      </c>
      <c r="L803" t="s">
        <v>24</v>
      </c>
      <c r="M803" t="s">
        <v>19</v>
      </c>
      <c r="N803" t="str">
        <f>IF(SalesTbl[[#This Row],[Profit]]&gt;180,"High Profit","Low Profit")</f>
        <v>High Profit</v>
      </c>
      <c r="O803" t="str">
        <f>TEXT(SalesTbl[[#This Row],[Date]],"mmm")</f>
        <v>Mar</v>
      </c>
    </row>
    <row r="804" spans="1:15" x14ac:dyDescent="0.3">
      <c r="A804">
        <v>1803</v>
      </c>
      <c r="B804" t="s">
        <v>142</v>
      </c>
      <c r="C804" t="s">
        <v>21</v>
      </c>
      <c r="D804" t="s">
        <v>26</v>
      </c>
      <c r="E804" t="s">
        <v>54</v>
      </c>
      <c r="F804" t="s">
        <v>17</v>
      </c>
      <c r="G804">
        <v>9</v>
      </c>
      <c r="H804">
        <v>420</v>
      </c>
      <c r="I804">
        <v>3780</v>
      </c>
      <c r="J804">
        <v>2608</v>
      </c>
      <c r="K804">
        <v>1172</v>
      </c>
      <c r="L804" t="s">
        <v>38</v>
      </c>
      <c r="M804" t="s">
        <v>29</v>
      </c>
      <c r="N804" t="str">
        <f>IF(SalesTbl[[#This Row],[Profit]]&gt;180,"High Profit","Low Profit")</f>
        <v>High Profit</v>
      </c>
      <c r="O804" t="str">
        <f>TEXT(SalesTbl[[#This Row],[Date]],"mmm")</f>
        <v>Mar</v>
      </c>
    </row>
    <row r="805" spans="1:15" x14ac:dyDescent="0.3">
      <c r="A805">
        <v>1778</v>
      </c>
      <c r="B805" t="s">
        <v>176</v>
      </c>
      <c r="C805" t="s">
        <v>40</v>
      </c>
      <c r="D805" t="s">
        <v>32</v>
      </c>
      <c r="E805" t="s">
        <v>16</v>
      </c>
      <c r="F805" t="s">
        <v>17</v>
      </c>
      <c r="G805">
        <v>2</v>
      </c>
      <c r="H805">
        <v>354</v>
      </c>
      <c r="I805">
        <v>708</v>
      </c>
      <c r="J805">
        <v>488</v>
      </c>
      <c r="K805">
        <v>220</v>
      </c>
      <c r="L805" t="s">
        <v>18</v>
      </c>
      <c r="M805" t="s">
        <v>29</v>
      </c>
      <c r="N805" t="str">
        <f>IF(SalesTbl[[#This Row],[Profit]]&gt;180,"High Profit","Low Profit")</f>
        <v>High Profit</v>
      </c>
      <c r="O805" t="str">
        <f>TEXT(SalesTbl[[#This Row],[Date]],"mmm")</f>
        <v>Jan</v>
      </c>
    </row>
    <row r="806" spans="1:15" x14ac:dyDescent="0.3">
      <c r="A806">
        <v>1805</v>
      </c>
      <c r="B806" t="s">
        <v>188</v>
      </c>
      <c r="C806" t="s">
        <v>31</v>
      </c>
      <c r="D806" t="s">
        <v>32</v>
      </c>
      <c r="E806" t="s">
        <v>16</v>
      </c>
      <c r="F806" t="s">
        <v>17</v>
      </c>
      <c r="G806">
        <v>8</v>
      </c>
      <c r="H806">
        <v>766</v>
      </c>
      <c r="I806">
        <v>6128</v>
      </c>
      <c r="J806">
        <v>4044</v>
      </c>
      <c r="K806">
        <v>2084</v>
      </c>
      <c r="L806" t="s">
        <v>38</v>
      </c>
      <c r="M806" t="s">
        <v>29</v>
      </c>
      <c r="N806" t="str">
        <f>IF(SalesTbl[[#This Row],[Profit]]&gt;180,"High Profit","Low Profit")</f>
        <v>High Profit</v>
      </c>
      <c r="O806" t="str">
        <f>TEXT(SalesTbl[[#This Row],[Date]],"mmm")</f>
        <v>Jun</v>
      </c>
    </row>
    <row r="807" spans="1:15" x14ac:dyDescent="0.3">
      <c r="A807">
        <v>1806</v>
      </c>
      <c r="B807" t="s">
        <v>88</v>
      </c>
      <c r="C807" t="s">
        <v>40</v>
      </c>
      <c r="D807" t="s">
        <v>15</v>
      </c>
      <c r="E807" t="s">
        <v>48</v>
      </c>
      <c r="F807" t="s">
        <v>23</v>
      </c>
      <c r="G807">
        <v>3</v>
      </c>
      <c r="H807">
        <v>236</v>
      </c>
      <c r="I807">
        <v>708</v>
      </c>
      <c r="J807">
        <v>474</v>
      </c>
      <c r="K807">
        <v>234</v>
      </c>
      <c r="L807" t="s">
        <v>38</v>
      </c>
      <c r="M807" t="s">
        <v>19</v>
      </c>
      <c r="N807" t="str">
        <f>IF(SalesTbl[[#This Row],[Profit]]&gt;180,"High Profit","Low Profit")</f>
        <v>High Profit</v>
      </c>
      <c r="O807" t="str">
        <f>TEXT(SalesTbl[[#This Row],[Date]],"mmm")</f>
        <v>Feb</v>
      </c>
    </row>
    <row r="808" spans="1:15" x14ac:dyDescent="0.3">
      <c r="A808">
        <v>1807</v>
      </c>
      <c r="B808" t="s">
        <v>68</v>
      </c>
      <c r="C808" t="s">
        <v>14</v>
      </c>
      <c r="D808" t="s">
        <v>15</v>
      </c>
      <c r="E808" t="s">
        <v>48</v>
      </c>
      <c r="F808" t="s">
        <v>23</v>
      </c>
      <c r="G808">
        <v>4</v>
      </c>
      <c r="H808">
        <v>319</v>
      </c>
      <c r="I808">
        <v>1276</v>
      </c>
      <c r="J808">
        <v>982</v>
      </c>
      <c r="K808">
        <v>294</v>
      </c>
      <c r="L808" t="s">
        <v>18</v>
      </c>
      <c r="M808" t="s">
        <v>19</v>
      </c>
      <c r="N808" t="str">
        <f>IF(SalesTbl[[#This Row],[Profit]]&gt;180,"High Profit","Low Profit")</f>
        <v>High Profit</v>
      </c>
      <c r="O808" t="str">
        <f>TEXT(SalesTbl[[#This Row],[Date]],"mmm")</f>
        <v>Apr</v>
      </c>
    </row>
    <row r="809" spans="1:15" x14ac:dyDescent="0.3">
      <c r="A809">
        <v>1808</v>
      </c>
      <c r="B809" t="s">
        <v>110</v>
      </c>
      <c r="C809" t="s">
        <v>14</v>
      </c>
      <c r="D809" t="s">
        <v>15</v>
      </c>
      <c r="E809" t="s">
        <v>48</v>
      </c>
      <c r="F809" t="s">
        <v>23</v>
      </c>
      <c r="G809">
        <v>10</v>
      </c>
      <c r="H809">
        <v>106</v>
      </c>
      <c r="I809">
        <v>1060</v>
      </c>
      <c r="J809">
        <v>678</v>
      </c>
      <c r="K809">
        <v>382</v>
      </c>
      <c r="L809" t="s">
        <v>18</v>
      </c>
      <c r="M809" t="s">
        <v>19</v>
      </c>
      <c r="N809" t="str">
        <f>IF(SalesTbl[[#This Row],[Profit]]&gt;180,"High Profit","Low Profit")</f>
        <v>High Profit</v>
      </c>
      <c r="O809" t="str">
        <f>TEXT(SalesTbl[[#This Row],[Date]],"mmm")</f>
        <v>Apr</v>
      </c>
    </row>
    <row r="810" spans="1:15" x14ac:dyDescent="0.3">
      <c r="A810">
        <v>1809</v>
      </c>
      <c r="B810" t="s">
        <v>63</v>
      </c>
      <c r="C810" t="s">
        <v>31</v>
      </c>
      <c r="D810" t="s">
        <v>32</v>
      </c>
      <c r="E810" t="s">
        <v>41</v>
      </c>
      <c r="F810" t="s">
        <v>17</v>
      </c>
      <c r="G810">
        <v>10</v>
      </c>
      <c r="H810">
        <v>445</v>
      </c>
      <c r="I810">
        <v>4450</v>
      </c>
      <c r="J810">
        <v>3115</v>
      </c>
      <c r="K810">
        <v>1335</v>
      </c>
      <c r="L810" t="s">
        <v>28</v>
      </c>
      <c r="M810" t="s">
        <v>19</v>
      </c>
      <c r="N810" t="str">
        <f>IF(SalesTbl[[#This Row],[Profit]]&gt;180,"High Profit","Low Profit")</f>
        <v>High Profit</v>
      </c>
      <c r="O810" t="str">
        <f>TEXT(SalesTbl[[#This Row],[Date]],"mmm")</f>
        <v>Jan</v>
      </c>
    </row>
    <row r="811" spans="1:15" x14ac:dyDescent="0.3">
      <c r="A811">
        <v>1316</v>
      </c>
      <c r="B811" t="s">
        <v>92</v>
      </c>
      <c r="C811" t="s">
        <v>40</v>
      </c>
      <c r="D811" t="s">
        <v>15</v>
      </c>
      <c r="E811" t="s">
        <v>16</v>
      </c>
      <c r="F811" t="s">
        <v>17</v>
      </c>
      <c r="G811">
        <v>3</v>
      </c>
      <c r="H811">
        <v>252</v>
      </c>
      <c r="I811">
        <v>756</v>
      </c>
      <c r="J811">
        <v>551</v>
      </c>
      <c r="K811">
        <v>205</v>
      </c>
      <c r="L811" t="s">
        <v>24</v>
      </c>
      <c r="M811" t="s">
        <v>29</v>
      </c>
      <c r="N811" t="str">
        <f>IF(SalesTbl[[#This Row],[Profit]]&gt;180,"High Profit","Low Profit")</f>
        <v>High Profit</v>
      </c>
      <c r="O811" t="str">
        <f>TEXT(SalesTbl[[#This Row],[Date]],"mmm")</f>
        <v>Feb</v>
      </c>
    </row>
    <row r="812" spans="1:15" x14ac:dyDescent="0.3">
      <c r="A812">
        <v>1686</v>
      </c>
      <c r="B812" t="s">
        <v>57</v>
      </c>
      <c r="C812" t="s">
        <v>40</v>
      </c>
      <c r="D812" t="s">
        <v>26</v>
      </c>
      <c r="E812" t="s">
        <v>54</v>
      </c>
      <c r="F812" t="s">
        <v>17</v>
      </c>
      <c r="G812">
        <v>6</v>
      </c>
      <c r="H812">
        <v>94</v>
      </c>
      <c r="I812">
        <v>564</v>
      </c>
      <c r="J812">
        <v>360</v>
      </c>
      <c r="K812">
        <v>204</v>
      </c>
      <c r="L812" t="s">
        <v>28</v>
      </c>
      <c r="M812" t="s">
        <v>19</v>
      </c>
      <c r="N812" t="str">
        <f>IF(SalesTbl[[#This Row],[Profit]]&gt;180,"High Profit","Low Profit")</f>
        <v>High Profit</v>
      </c>
      <c r="O812" t="str">
        <f>TEXT(SalesTbl[[#This Row],[Date]],"mmm")</f>
        <v>Apr</v>
      </c>
    </row>
    <row r="813" spans="1:15" x14ac:dyDescent="0.3">
      <c r="A813">
        <v>1812</v>
      </c>
      <c r="B813" t="s">
        <v>49</v>
      </c>
      <c r="C813" t="s">
        <v>31</v>
      </c>
      <c r="D813" t="s">
        <v>15</v>
      </c>
      <c r="E813" t="s">
        <v>48</v>
      </c>
      <c r="F813" t="s">
        <v>23</v>
      </c>
      <c r="G813">
        <v>5</v>
      </c>
      <c r="H813">
        <v>456</v>
      </c>
      <c r="I813">
        <v>2280</v>
      </c>
      <c r="J813">
        <v>1436</v>
      </c>
      <c r="K813">
        <v>844</v>
      </c>
      <c r="L813" t="s">
        <v>24</v>
      </c>
      <c r="M813" t="s">
        <v>19</v>
      </c>
      <c r="N813" t="str">
        <f>IF(SalesTbl[[#This Row],[Profit]]&gt;180,"High Profit","Low Profit")</f>
        <v>High Profit</v>
      </c>
      <c r="O813" t="str">
        <f>TEXT(SalesTbl[[#This Row],[Date]],"mmm")</f>
        <v>Jan</v>
      </c>
    </row>
    <row r="814" spans="1:15" x14ac:dyDescent="0.3">
      <c r="A814">
        <v>1157</v>
      </c>
      <c r="B814" t="s">
        <v>143</v>
      </c>
      <c r="C814" t="s">
        <v>40</v>
      </c>
      <c r="D814" t="s">
        <v>26</v>
      </c>
      <c r="E814" t="s">
        <v>16</v>
      </c>
      <c r="F814" t="s">
        <v>17</v>
      </c>
      <c r="G814">
        <v>2</v>
      </c>
      <c r="H814">
        <v>291</v>
      </c>
      <c r="I814">
        <v>582</v>
      </c>
      <c r="J814">
        <v>384</v>
      </c>
      <c r="K814">
        <v>198</v>
      </c>
      <c r="L814" t="s">
        <v>28</v>
      </c>
      <c r="M814" t="s">
        <v>29</v>
      </c>
      <c r="N814" t="str">
        <f>IF(SalesTbl[[#This Row],[Profit]]&gt;180,"High Profit","Low Profit")</f>
        <v>High Profit</v>
      </c>
      <c r="O814" t="str">
        <f>TEXT(SalesTbl[[#This Row],[Date]],"mmm")</f>
        <v>Mar</v>
      </c>
    </row>
    <row r="815" spans="1:15" x14ac:dyDescent="0.3">
      <c r="A815">
        <v>1814</v>
      </c>
      <c r="B815" t="s">
        <v>168</v>
      </c>
      <c r="C815" t="s">
        <v>14</v>
      </c>
      <c r="D815" t="s">
        <v>26</v>
      </c>
      <c r="E815" t="s">
        <v>41</v>
      </c>
      <c r="F815" t="s">
        <v>17</v>
      </c>
      <c r="G815">
        <v>6</v>
      </c>
      <c r="H815">
        <v>625</v>
      </c>
      <c r="I815">
        <v>3750</v>
      </c>
      <c r="J815">
        <v>2325</v>
      </c>
      <c r="K815">
        <v>1425</v>
      </c>
      <c r="L815" t="s">
        <v>33</v>
      </c>
      <c r="M815" t="s">
        <v>29</v>
      </c>
      <c r="N815" t="str">
        <f>IF(SalesTbl[[#This Row],[Profit]]&gt;180,"High Profit","Low Profit")</f>
        <v>High Profit</v>
      </c>
      <c r="O815" t="str">
        <f>TEXT(SalesTbl[[#This Row],[Date]],"mmm")</f>
        <v>Mar</v>
      </c>
    </row>
    <row r="816" spans="1:15" x14ac:dyDescent="0.3">
      <c r="A816">
        <v>1815</v>
      </c>
      <c r="B816" t="s">
        <v>202</v>
      </c>
      <c r="C816" t="s">
        <v>14</v>
      </c>
      <c r="D816" t="s">
        <v>26</v>
      </c>
      <c r="E816" t="s">
        <v>54</v>
      </c>
      <c r="F816" t="s">
        <v>17</v>
      </c>
      <c r="G816">
        <v>7</v>
      </c>
      <c r="H816">
        <v>684</v>
      </c>
      <c r="I816">
        <v>4788</v>
      </c>
      <c r="J816">
        <v>3399</v>
      </c>
      <c r="K816">
        <v>1389</v>
      </c>
      <c r="L816" t="s">
        <v>28</v>
      </c>
      <c r="M816" t="s">
        <v>19</v>
      </c>
      <c r="N816" t="str">
        <f>IF(SalesTbl[[#This Row],[Profit]]&gt;180,"High Profit","Low Profit")</f>
        <v>High Profit</v>
      </c>
      <c r="O816" t="str">
        <f>TEXT(SalesTbl[[#This Row],[Date]],"mmm")</f>
        <v>Feb</v>
      </c>
    </row>
    <row r="817" spans="1:15" x14ac:dyDescent="0.3">
      <c r="A817">
        <v>1816</v>
      </c>
      <c r="B817" t="s">
        <v>172</v>
      </c>
      <c r="C817" t="s">
        <v>14</v>
      </c>
      <c r="D817" t="s">
        <v>32</v>
      </c>
      <c r="E817" t="s">
        <v>22</v>
      </c>
      <c r="F817" t="s">
        <v>23</v>
      </c>
      <c r="G817">
        <v>6</v>
      </c>
      <c r="H817">
        <v>801</v>
      </c>
      <c r="I817">
        <v>4806</v>
      </c>
      <c r="J817">
        <v>3268</v>
      </c>
      <c r="K817">
        <v>1538</v>
      </c>
      <c r="L817" t="s">
        <v>33</v>
      </c>
      <c r="M817" t="s">
        <v>19</v>
      </c>
      <c r="N817" t="str">
        <f>IF(SalesTbl[[#This Row],[Profit]]&gt;180,"High Profit","Low Profit")</f>
        <v>High Profit</v>
      </c>
      <c r="O817" t="str">
        <f>TEXT(SalesTbl[[#This Row],[Date]],"mmm")</f>
        <v>Mar</v>
      </c>
    </row>
    <row r="818" spans="1:15" x14ac:dyDescent="0.3">
      <c r="A818">
        <v>1717</v>
      </c>
      <c r="B818" t="s">
        <v>187</v>
      </c>
      <c r="C818" t="s">
        <v>40</v>
      </c>
      <c r="D818" t="s">
        <v>26</v>
      </c>
      <c r="E818" t="s">
        <v>16</v>
      </c>
      <c r="F818" t="s">
        <v>17</v>
      </c>
      <c r="G818">
        <v>2</v>
      </c>
      <c r="H818">
        <v>389</v>
      </c>
      <c r="I818">
        <v>778</v>
      </c>
      <c r="J818">
        <v>583</v>
      </c>
      <c r="K818">
        <v>195</v>
      </c>
      <c r="L818" t="s">
        <v>24</v>
      </c>
      <c r="M818" t="s">
        <v>29</v>
      </c>
      <c r="N818" t="str">
        <f>IF(SalesTbl[[#This Row],[Profit]]&gt;180,"High Profit","Low Profit")</f>
        <v>High Profit</v>
      </c>
      <c r="O818" t="str">
        <f>TEXT(SalesTbl[[#This Row],[Date]],"mmm")</f>
        <v>Jun</v>
      </c>
    </row>
    <row r="819" spans="1:15" x14ac:dyDescent="0.3">
      <c r="A819">
        <v>1818</v>
      </c>
      <c r="B819" t="s">
        <v>207</v>
      </c>
      <c r="C819" t="s">
        <v>40</v>
      </c>
      <c r="D819" t="s">
        <v>15</v>
      </c>
      <c r="E819" t="s">
        <v>22</v>
      </c>
      <c r="F819" t="s">
        <v>23</v>
      </c>
      <c r="G819">
        <v>9</v>
      </c>
      <c r="H819">
        <v>517</v>
      </c>
      <c r="I819">
        <v>4653</v>
      </c>
      <c r="J819">
        <v>3396</v>
      </c>
      <c r="K819">
        <v>1257</v>
      </c>
      <c r="L819" t="s">
        <v>33</v>
      </c>
      <c r="M819" t="s">
        <v>29</v>
      </c>
      <c r="N819" t="str">
        <f>IF(SalesTbl[[#This Row],[Profit]]&gt;180,"High Profit","Low Profit")</f>
        <v>High Profit</v>
      </c>
      <c r="O819" t="str">
        <f>TEXT(SalesTbl[[#This Row],[Date]],"mmm")</f>
        <v>Jun</v>
      </c>
    </row>
    <row r="820" spans="1:15" x14ac:dyDescent="0.3">
      <c r="A820">
        <v>1819</v>
      </c>
      <c r="B820" t="s">
        <v>62</v>
      </c>
      <c r="C820" t="s">
        <v>40</v>
      </c>
      <c r="D820" t="s">
        <v>35</v>
      </c>
      <c r="E820" t="s">
        <v>48</v>
      </c>
      <c r="F820" t="s">
        <v>23</v>
      </c>
      <c r="G820">
        <v>9</v>
      </c>
      <c r="H820">
        <v>616</v>
      </c>
      <c r="I820">
        <v>5544</v>
      </c>
      <c r="J820">
        <v>4324</v>
      </c>
      <c r="K820">
        <v>1220</v>
      </c>
      <c r="L820" t="s">
        <v>24</v>
      </c>
      <c r="M820" t="s">
        <v>29</v>
      </c>
      <c r="N820" t="str">
        <f>IF(SalesTbl[[#This Row],[Profit]]&gt;180,"High Profit","Low Profit")</f>
        <v>High Profit</v>
      </c>
      <c r="O820" t="str">
        <f>TEXT(SalesTbl[[#This Row],[Date]],"mmm")</f>
        <v>May</v>
      </c>
    </row>
    <row r="821" spans="1:15" x14ac:dyDescent="0.3">
      <c r="A821">
        <v>1820</v>
      </c>
      <c r="B821" t="s">
        <v>170</v>
      </c>
      <c r="C821" t="s">
        <v>14</v>
      </c>
      <c r="D821" t="s">
        <v>26</v>
      </c>
      <c r="E821" t="s">
        <v>27</v>
      </c>
      <c r="F821" t="s">
        <v>17</v>
      </c>
      <c r="G821">
        <v>1</v>
      </c>
      <c r="H821">
        <v>941</v>
      </c>
      <c r="I821">
        <v>941</v>
      </c>
      <c r="J821">
        <v>564</v>
      </c>
      <c r="K821">
        <v>377</v>
      </c>
      <c r="L821" t="s">
        <v>18</v>
      </c>
      <c r="M821" t="s">
        <v>19</v>
      </c>
      <c r="N821" t="str">
        <f>IF(SalesTbl[[#This Row],[Profit]]&gt;180,"High Profit","Low Profit")</f>
        <v>High Profit</v>
      </c>
      <c r="O821" t="str">
        <f>TEXT(SalesTbl[[#This Row],[Date]],"mmm")</f>
        <v>Jan</v>
      </c>
    </row>
    <row r="822" spans="1:15" x14ac:dyDescent="0.3">
      <c r="A822">
        <v>1821</v>
      </c>
      <c r="B822" t="s">
        <v>209</v>
      </c>
      <c r="C822" t="s">
        <v>21</v>
      </c>
      <c r="D822" t="s">
        <v>26</v>
      </c>
      <c r="E822" t="s">
        <v>22</v>
      </c>
      <c r="F822" t="s">
        <v>23</v>
      </c>
      <c r="G822">
        <v>6</v>
      </c>
      <c r="H822">
        <v>784</v>
      </c>
      <c r="I822">
        <v>4704</v>
      </c>
      <c r="J822">
        <v>3433</v>
      </c>
      <c r="K822">
        <v>1271</v>
      </c>
      <c r="L822" t="s">
        <v>33</v>
      </c>
      <c r="M822" t="s">
        <v>29</v>
      </c>
      <c r="N822" t="str">
        <f>IF(SalesTbl[[#This Row],[Profit]]&gt;180,"High Profit","Low Profit")</f>
        <v>High Profit</v>
      </c>
      <c r="O822" t="str">
        <f>TEXT(SalesTbl[[#This Row],[Date]],"mmm")</f>
        <v>Jun</v>
      </c>
    </row>
    <row r="823" spans="1:15" x14ac:dyDescent="0.3">
      <c r="A823">
        <v>1822</v>
      </c>
      <c r="B823" t="s">
        <v>99</v>
      </c>
      <c r="C823" t="s">
        <v>21</v>
      </c>
      <c r="D823" t="s">
        <v>32</v>
      </c>
      <c r="E823" t="s">
        <v>48</v>
      </c>
      <c r="F823" t="s">
        <v>23</v>
      </c>
      <c r="G823">
        <v>7</v>
      </c>
      <c r="H823">
        <v>151</v>
      </c>
      <c r="I823">
        <v>1057</v>
      </c>
      <c r="J823">
        <v>708</v>
      </c>
      <c r="K823">
        <v>349</v>
      </c>
      <c r="L823" t="s">
        <v>24</v>
      </c>
      <c r="M823" t="s">
        <v>19</v>
      </c>
      <c r="N823" t="str">
        <f>IF(SalesTbl[[#This Row],[Profit]]&gt;180,"High Profit","Low Profit")</f>
        <v>High Profit</v>
      </c>
      <c r="O823" t="str">
        <f>TEXT(SalesTbl[[#This Row],[Date]],"mmm")</f>
        <v>Jun</v>
      </c>
    </row>
    <row r="824" spans="1:15" x14ac:dyDescent="0.3">
      <c r="A824">
        <v>1823</v>
      </c>
      <c r="B824" t="s">
        <v>45</v>
      </c>
      <c r="C824" t="s">
        <v>14</v>
      </c>
      <c r="D824" t="s">
        <v>26</v>
      </c>
      <c r="E824" t="s">
        <v>41</v>
      </c>
      <c r="F824" t="s">
        <v>17</v>
      </c>
      <c r="G824">
        <v>4</v>
      </c>
      <c r="H824">
        <v>882</v>
      </c>
      <c r="I824">
        <v>3528</v>
      </c>
      <c r="J824">
        <v>2187</v>
      </c>
      <c r="K824">
        <v>1341</v>
      </c>
      <c r="L824" t="s">
        <v>28</v>
      </c>
      <c r="M824" t="s">
        <v>29</v>
      </c>
      <c r="N824" t="str">
        <f>IF(SalesTbl[[#This Row],[Profit]]&gt;180,"High Profit","Low Profit")</f>
        <v>High Profit</v>
      </c>
      <c r="O824" t="str">
        <f>TEXT(SalesTbl[[#This Row],[Date]],"mmm")</f>
        <v>May</v>
      </c>
    </row>
    <row r="825" spans="1:15" x14ac:dyDescent="0.3">
      <c r="A825">
        <v>1824</v>
      </c>
      <c r="B825" t="s">
        <v>115</v>
      </c>
      <c r="C825" t="s">
        <v>14</v>
      </c>
      <c r="D825" t="s">
        <v>35</v>
      </c>
      <c r="E825" t="s">
        <v>16</v>
      </c>
      <c r="F825" t="s">
        <v>17</v>
      </c>
      <c r="G825">
        <v>6</v>
      </c>
      <c r="H825">
        <v>369</v>
      </c>
      <c r="I825">
        <v>2214</v>
      </c>
      <c r="J825">
        <v>1749</v>
      </c>
      <c r="K825">
        <v>465</v>
      </c>
      <c r="L825" t="s">
        <v>33</v>
      </c>
      <c r="M825" t="s">
        <v>29</v>
      </c>
      <c r="N825" t="str">
        <f>IF(SalesTbl[[#This Row],[Profit]]&gt;180,"High Profit","Low Profit")</f>
        <v>High Profit</v>
      </c>
      <c r="O825" t="str">
        <f>TEXT(SalesTbl[[#This Row],[Date]],"mmm")</f>
        <v>Jun</v>
      </c>
    </row>
    <row r="826" spans="1:15" x14ac:dyDescent="0.3">
      <c r="A826">
        <v>1825</v>
      </c>
      <c r="B826" t="s">
        <v>150</v>
      </c>
      <c r="C826" t="s">
        <v>21</v>
      </c>
      <c r="D826" t="s">
        <v>35</v>
      </c>
      <c r="E826" t="s">
        <v>54</v>
      </c>
      <c r="F826" t="s">
        <v>17</v>
      </c>
      <c r="G826">
        <v>5</v>
      </c>
      <c r="H826">
        <v>351</v>
      </c>
      <c r="I826">
        <v>1755</v>
      </c>
      <c r="J826">
        <v>1123</v>
      </c>
      <c r="K826">
        <v>632</v>
      </c>
      <c r="L826" t="s">
        <v>38</v>
      </c>
      <c r="M826" t="s">
        <v>29</v>
      </c>
      <c r="N826" t="str">
        <f>IF(SalesTbl[[#This Row],[Profit]]&gt;180,"High Profit","Low Profit")</f>
        <v>High Profit</v>
      </c>
      <c r="O826" t="str">
        <f>TEXT(SalesTbl[[#This Row],[Date]],"mmm")</f>
        <v>Jun</v>
      </c>
    </row>
    <row r="827" spans="1:15" x14ac:dyDescent="0.3">
      <c r="A827">
        <v>1826</v>
      </c>
      <c r="B827" t="s">
        <v>197</v>
      </c>
      <c r="C827" t="s">
        <v>31</v>
      </c>
      <c r="D827" t="s">
        <v>32</v>
      </c>
      <c r="E827" t="s">
        <v>41</v>
      </c>
      <c r="F827" t="s">
        <v>17</v>
      </c>
      <c r="G827">
        <v>10</v>
      </c>
      <c r="H827">
        <v>371</v>
      </c>
      <c r="I827">
        <v>3710</v>
      </c>
      <c r="J827">
        <v>2930</v>
      </c>
      <c r="K827">
        <v>780</v>
      </c>
      <c r="L827" t="s">
        <v>28</v>
      </c>
      <c r="M827" t="s">
        <v>29</v>
      </c>
      <c r="N827" t="str">
        <f>IF(SalesTbl[[#This Row],[Profit]]&gt;180,"High Profit","Low Profit")</f>
        <v>High Profit</v>
      </c>
      <c r="O827" t="str">
        <f>TEXT(SalesTbl[[#This Row],[Date]],"mmm")</f>
        <v>Apr</v>
      </c>
    </row>
    <row r="828" spans="1:15" x14ac:dyDescent="0.3">
      <c r="A828">
        <v>1827</v>
      </c>
      <c r="B828" t="s">
        <v>207</v>
      </c>
      <c r="C828" t="s">
        <v>21</v>
      </c>
      <c r="D828" t="s">
        <v>35</v>
      </c>
      <c r="E828" t="s">
        <v>41</v>
      </c>
      <c r="F828" t="s">
        <v>17</v>
      </c>
      <c r="G828">
        <v>9</v>
      </c>
      <c r="H828">
        <v>824</v>
      </c>
      <c r="I828">
        <v>7416</v>
      </c>
      <c r="J828">
        <v>5265</v>
      </c>
      <c r="K828">
        <v>2151</v>
      </c>
      <c r="L828" t="s">
        <v>33</v>
      </c>
      <c r="M828" t="s">
        <v>29</v>
      </c>
      <c r="N828" t="str">
        <f>IF(SalesTbl[[#This Row],[Profit]]&gt;180,"High Profit","Low Profit")</f>
        <v>High Profit</v>
      </c>
      <c r="O828" t="str">
        <f>TEXT(SalesTbl[[#This Row],[Date]],"mmm")</f>
        <v>Jun</v>
      </c>
    </row>
    <row r="829" spans="1:15" x14ac:dyDescent="0.3">
      <c r="A829">
        <v>1539</v>
      </c>
      <c r="B829" t="s">
        <v>96</v>
      </c>
      <c r="C829" t="s">
        <v>40</v>
      </c>
      <c r="D829" t="s">
        <v>32</v>
      </c>
      <c r="E829" t="s">
        <v>41</v>
      </c>
      <c r="F829" t="s">
        <v>17</v>
      </c>
      <c r="G829">
        <v>4</v>
      </c>
      <c r="H829">
        <v>170</v>
      </c>
      <c r="I829">
        <v>680</v>
      </c>
      <c r="J829">
        <v>489</v>
      </c>
      <c r="K829">
        <v>191</v>
      </c>
      <c r="L829" t="s">
        <v>18</v>
      </c>
      <c r="M829" t="s">
        <v>29</v>
      </c>
      <c r="N829" t="str">
        <f>IF(SalesTbl[[#This Row],[Profit]]&gt;180,"High Profit","Low Profit")</f>
        <v>High Profit</v>
      </c>
      <c r="O829" t="str">
        <f>TEXT(SalesTbl[[#This Row],[Date]],"mmm")</f>
        <v>Jun</v>
      </c>
    </row>
    <row r="830" spans="1:15" x14ac:dyDescent="0.3">
      <c r="A830">
        <v>1447</v>
      </c>
      <c r="B830" t="s">
        <v>82</v>
      </c>
      <c r="C830" t="s">
        <v>40</v>
      </c>
      <c r="D830" t="s">
        <v>15</v>
      </c>
      <c r="E830" t="s">
        <v>41</v>
      </c>
      <c r="F830" t="s">
        <v>17</v>
      </c>
      <c r="G830">
        <v>1</v>
      </c>
      <c r="H830">
        <v>708</v>
      </c>
      <c r="I830">
        <v>708</v>
      </c>
      <c r="J830">
        <v>523</v>
      </c>
      <c r="K830">
        <v>185</v>
      </c>
      <c r="L830" t="s">
        <v>18</v>
      </c>
      <c r="M830" t="s">
        <v>29</v>
      </c>
      <c r="N830" t="str">
        <f>IF(SalesTbl[[#This Row],[Profit]]&gt;180,"High Profit","Low Profit")</f>
        <v>High Profit</v>
      </c>
      <c r="O830" t="str">
        <f>TEXT(SalesTbl[[#This Row],[Date]],"mmm")</f>
        <v>Jan</v>
      </c>
    </row>
    <row r="831" spans="1:15" x14ac:dyDescent="0.3">
      <c r="A831">
        <v>1928</v>
      </c>
      <c r="B831" t="s">
        <v>161</v>
      </c>
      <c r="C831" t="s">
        <v>40</v>
      </c>
      <c r="D831" t="s">
        <v>35</v>
      </c>
      <c r="E831" t="s">
        <v>54</v>
      </c>
      <c r="F831" t="s">
        <v>17</v>
      </c>
      <c r="G831">
        <v>3</v>
      </c>
      <c r="H831">
        <v>175</v>
      </c>
      <c r="I831">
        <v>525</v>
      </c>
      <c r="J831">
        <v>346</v>
      </c>
      <c r="K831">
        <v>179</v>
      </c>
      <c r="L831" t="s">
        <v>33</v>
      </c>
      <c r="M831" t="s">
        <v>19</v>
      </c>
      <c r="N831" t="str">
        <f>IF(SalesTbl[[#This Row],[Profit]]&gt;180,"High Profit","Low Profit")</f>
        <v>Low Profit</v>
      </c>
      <c r="O831" t="str">
        <f>TEXT(SalesTbl[[#This Row],[Date]],"mmm")</f>
        <v>Mar</v>
      </c>
    </row>
    <row r="832" spans="1:15" x14ac:dyDescent="0.3">
      <c r="A832">
        <v>1831</v>
      </c>
      <c r="B832" t="s">
        <v>143</v>
      </c>
      <c r="C832" t="s">
        <v>40</v>
      </c>
      <c r="D832" t="s">
        <v>15</v>
      </c>
      <c r="E832" t="s">
        <v>22</v>
      </c>
      <c r="F832" t="s">
        <v>23</v>
      </c>
      <c r="G832">
        <v>9</v>
      </c>
      <c r="H832">
        <v>847</v>
      </c>
      <c r="I832">
        <v>7623</v>
      </c>
      <c r="J832">
        <v>6022</v>
      </c>
      <c r="K832">
        <v>1601</v>
      </c>
      <c r="L832" t="s">
        <v>38</v>
      </c>
      <c r="M832" t="s">
        <v>29</v>
      </c>
      <c r="N832" t="str">
        <f>IF(SalesTbl[[#This Row],[Profit]]&gt;180,"High Profit","Low Profit")</f>
        <v>High Profit</v>
      </c>
      <c r="O832" t="str">
        <f>TEXT(SalesTbl[[#This Row],[Date]],"mmm")</f>
        <v>Mar</v>
      </c>
    </row>
    <row r="833" spans="1:15" x14ac:dyDescent="0.3">
      <c r="A833">
        <v>1832</v>
      </c>
      <c r="B833" t="s">
        <v>101</v>
      </c>
      <c r="C833" t="s">
        <v>21</v>
      </c>
      <c r="D833" t="s">
        <v>35</v>
      </c>
      <c r="E833" t="s">
        <v>22</v>
      </c>
      <c r="F833" t="s">
        <v>23</v>
      </c>
      <c r="G833">
        <v>2</v>
      </c>
      <c r="H833">
        <v>349</v>
      </c>
      <c r="I833">
        <v>698</v>
      </c>
      <c r="J833">
        <v>439</v>
      </c>
      <c r="K833">
        <v>259</v>
      </c>
      <c r="L833" t="s">
        <v>28</v>
      </c>
      <c r="M833" t="s">
        <v>29</v>
      </c>
      <c r="N833" t="str">
        <f>IF(SalesTbl[[#This Row],[Profit]]&gt;180,"High Profit","Low Profit")</f>
        <v>High Profit</v>
      </c>
      <c r="O833" t="str">
        <f>TEXT(SalesTbl[[#This Row],[Date]],"mmm")</f>
        <v>Feb</v>
      </c>
    </row>
    <row r="834" spans="1:15" x14ac:dyDescent="0.3">
      <c r="A834">
        <v>1833</v>
      </c>
      <c r="B834" t="s">
        <v>189</v>
      </c>
      <c r="C834" t="s">
        <v>31</v>
      </c>
      <c r="D834" t="s">
        <v>35</v>
      </c>
      <c r="E834" t="s">
        <v>54</v>
      </c>
      <c r="F834" t="s">
        <v>17</v>
      </c>
      <c r="G834">
        <v>10</v>
      </c>
      <c r="H834">
        <v>821</v>
      </c>
      <c r="I834">
        <v>8210</v>
      </c>
      <c r="J834">
        <v>5090</v>
      </c>
      <c r="K834">
        <v>3120</v>
      </c>
      <c r="L834" t="s">
        <v>18</v>
      </c>
      <c r="M834" t="s">
        <v>29</v>
      </c>
      <c r="N834" t="str">
        <f>IF(SalesTbl[[#This Row],[Profit]]&gt;180,"High Profit","Low Profit")</f>
        <v>High Profit</v>
      </c>
      <c r="O834" t="str">
        <f>TEXT(SalesTbl[[#This Row],[Date]],"mmm")</f>
        <v>May</v>
      </c>
    </row>
    <row r="835" spans="1:15" x14ac:dyDescent="0.3">
      <c r="A835">
        <v>1834</v>
      </c>
      <c r="B835" t="s">
        <v>105</v>
      </c>
      <c r="C835" t="s">
        <v>14</v>
      </c>
      <c r="D835" t="s">
        <v>32</v>
      </c>
      <c r="E835" t="s">
        <v>41</v>
      </c>
      <c r="F835" t="s">
        <v>17</v>
      </c>
      <c r="G835">
        <v>4</v>
      </c>
      <c r="H835">
        <v>943</v>
      </c>
      <c r="I835">
        <v>3772</v>
      </c>
      <c r="J835">
        <v>2300</v>
      </c>
      <c r="K835">
        <v>1472</v>
      </c>
      <c r="L835" t="s">
        <v>24</v>
      </c>
      <c r="M835" t="s">
        <v>29</v>
      </c>
      <c r="N835" t="str">
        <f>IF(SalesTbl[[#This Row],[Profit]]&gt;180,"High Profit","Low Profit")</f>
        <v>High Profit</v>
      </c>
      <c r="O835" t="str">
        <f>TEXT(SalesTbl[[#This Row],[Date]],"mmm")</f>
        <v>Jun</v>
      </c>
    </row>
    <row r="836" spans="1:15" x14ac:dyDescent="0.3">
      <c r="A836">
        <v>1835</v>
      </c>
      <c r="B836" t="s">
        <v>84</v>
      </c>
      <c r="C836" t="s">
        <v>21</v>
      </c>
      <c r="D836" t="s">
        <v>35</v>
      </c>
      <c r="E836" t="s">
        <v>22</v>
      </c>
      <c r="F836" t="s">
        <v>23</v>
      </c>
      <c r="G836">
        <v>6</v>
      </c>
      <c r="H836">
        <v>214</v>
      </c>
      <c r="I836">
        <v>1284</v>
      </c>
      <c r="J836">
        <v>834</v>
      </c>
      <c r="K836">
        <v>450</v>
      </c>
      <c r="L836" t="s">
        <v>24</v>
      </c>
      <c r="M836" t="s">
        <v>19</v>
      </c>
      <c r="N836" t="str">
        <f>IF(SalesTbl[[#This Row],[Profit]]&gt;180,"High Profit","Low Profit")</f>
        <v>High Profit</v>
      </c>
      <c r="O836" t="str">
        <f>TEXT(SalesTbl[[#This Row],[Date]],"mmm")</f>
        <v>Apr</v>
      </c>
    </row>
    <row r="837" spans="1:15" x14ac:dyDescent="0.3">
      <c r="A837">
        <v>1836</v>
      </c>
      <c r="B837" t="s">
        <v>172</v>
      </c>
      <c r="C837" t="s">
        <v>31</v>
      </c>
      <c r="D837" t="s">
        <v>26</v>
      </c>
      <c r="E837" t="s">
        <v>22</v>
      </c>
      <c r="F837" t="s">
        <v>23</v>
      </c>
      <c r="G837">
        <v>1</v>
      </c>
      <c r="H837">
        <v>330</v>
      </c>
      <c r="I837">
        <v>330</v>
      </c>
      <c r="J837">
        <v>237</v>
      </c>
      <c r="K837">
        <v>93</v>
      </c>
      <c r="L837" t="s">
        <v>24</v>
      </c>
      <c r="M837" t="s">
        <v>19</v>
      </c>
      <c r="N837" t="str">
        <f>IF(SalesTbl[[#This Row],[Profit]]&gt;180,"High Profit","Low Profit")</f>
        <v>Low Profit</v>
      </c>
      <c r="O837" t="str">
        <f>TEXT(SalesTbl[[#This Row],[Date]],"mmm")</f>
        <v>Mar</v>
      </c>
    </row>
    <row r="838" spans="1:15" x14ac:dyDescent="0.3">
      <c r="A838">
        <v>1837</v>
      </c>
      <c r="B838" t="s">
        <v>125</v>
      </c>
      <c r="C838" t="s">
        <v>31</v>
      </c>
      <c r="D838" t="s">
        <v>35</v>
      </c>
      <c r="E838" t="s">
        <v>54</v>
      </c>
      <c r="F838" t="s">
        <v>17</v>
      </c>
      <c r="G838">
        <v>9</v>
      </c>
      <c r="H838">
        <v>986</v>
      </c>
      <c r="I838">
        <v>8874</v>
      </c>
      <c r="J838">
        <v>5768</v>
      </c>
      <c r="K838">
        <v>3106</v>
      </c>
      <c r="L838" t="s">
        <v>24</v>
      </c>
      <c r="M838" t="s">
        <v>29</v>
      </c>
      <c r="N838" t="str">
        <f>IF(SalesTbl[[#This Row],[Profit]]&gt;180,"High Profit","Low Profit")</f>
        <v>High Profit</v>
      </c>
      <c r="O838" t="str">
        <f>TEXT(SalesTbl[[#This Row],[Date]],"mmm")</f>
        <v>Jun</v>
      </c>
    </row>
    <row r="839" spans="1:15" x14ac:dyDescent="0.3">
      <c r="A839">
        <v>1838</v>
      </c>
      <c r="B839" t="s">
        <v>43</v>
      </c>
      <c r="C839" t="s">
        <v>14</v>
      </c>
      <c r="D839" t="s">
        <v>35</v>
      </c>
      <c r="E839" t="s">
        <v>22</v>
      </c>
      <c r="F839" t="s">
        <v>23</v>
      </c>
      <c r="G839">
        <v>1</v>
      </c>
      <c r="H839">
        <v>872</v>
      </c>
      <c r="I839">
        <v>872</v>
      </c>
      <c r="J839">
        <v>627</v>
      </c>
      <c r="K839">
        <v>245</v>
      </c>
      <c r="L839" t="s">
        <v>33</v>
      </c>
      <c r="M839" t="s">
        <v>29</v>
      </c>
      <c r="N839" t="str">
        <f>IF(SalesTbl[[#This Row],[Profit]]&gt;180,"High Profit","Low Profit")</f>
        <v>High Profit</v>
      </c>
      <c r="O839" t="str">
        <f>TEXT(SalesTbl[[#This Row],[Date]],"mmm")</f>
        <v>Apr</v>
      </c>
    </row>
    <row r="840" spans="1:15" x14ac:dyDescent="0.3">
      <c r="A840">
        <v>1839</v>
      </c>
      <c r="B840" t="s">
        <v>114</v>
      </c>
      <c r="C840" t="s">
        <v>31</v>
      </c>
      <c r="D840" t="s">
        <v>32</v>
      </c>
      <c r="E840" t="s">
        <v>16</v>
      </c>
      <c r="F840" t="s">
        <v>17</v>
      </c>
      <c r="G840">
        <v>6</v>
      </c>
      <c r="H840">
        <v>279</v>
      </c>
      <c r="I840">
        <v>1674</v>
      </c>
      <c r="J840">
        <v>1071</v>
      </c>
      <c r="K840">
        <v>603</v>
      </c>
      <c r="L840" t="s">
        <v>18</v>
      </c>
      <c r="M840" t="s">
        <v>29</v>
      </c>
      <c r="N840" t="str">
        <f>IF(SalesTbl[[#This Row],[Profit]]&gt;180,"High Profit","Low Profit")</f>
        <v>High Profit</v>
      </c>
      <c r="O840" t="str">
        <f>TEXT(SalesTbl[[#This Row],[Date]],"mmm")</f>
        <v>Jan</v>
      </c>
    </row>
    <row r="841" spans="1:15" x14ac:dyDescent="0.3">
      <c r="A841">
        <v>1840</v>
      </c>
      <c r="B841" t="s">
        <v>142</v>
      </c>
      <c r="C841" t="s">
        <v>14</v>
      </c>
      <c r="D841" t="s">
        <v>26</v>
      </c>
      <c r="E841" t="s">
        <v>48</v>
      </c>
      <c r="F841" t="s">
        <v>23</v>
      </c>
      <c r="G841">
        <v>6</v>
      </c>
      <c r="H841">
        <v>198</v>
      </c>
      <c r="I841">
        <v>1188</v>
      </c>
      <c r="J841">
        <v>891</v>
      </c>
      <c r="K841">
        <v>297</v>
      </c>
      <c r="L841" t="s">
        <v>24</v>
      </c>
      <c r="M841" t="s">
        <v>29</v>
      </c>
      <c r="N841" t="str">
        <f>IF(SalesTbl[[#This Row],[Profit]]&gt;180,"High Profit","Low Profit")</f>
        <v>High Profit</v>
      </c>
      <c r="O841" t="str">
        <f>TEXT(SalesTbl[[#This Row],[Date]],"mmm")</f>
        <v>Mar</v>
      </c>
    </row>
    <row r="842" spans="1:15" x14ac:dyDescent="0.3">
      <c r="A842">
        <v>1841</v>
      </c>
      <c r="B842" t="s">
        <v>81</v>
      </c>
      <c r="C842" t="s">
        <v>31</v>
      </c>
      <c r="D842" t="s">
        <v>32</v>
      </c>
      <c r="E842" t="s">
        <v>41</v>
      </c>
      <c r="F842" t="s">
        <v>17</v>
      </c>
      <c r="G842">
        <v>8</v>
      </c>
      <c r="H842">
        <v>659</v>
      </c>
      <c r="I842">
        <v>5272</v>
      </c>
      <c r="J842">
        <v>3479</v>
      </c>
      <c r="K842">
        <v>1793</v>
      </c>
      <c r="L842" t="s">
        <v>28</v>
      </c>
      <c r="M842" t="s">
        <v>19</v>
      </c>
      <c r="N842" t="str">
        <f>IF(SalesTbl[[#This Row],[Profit]]&gt;180,"High Profit","Low Profit")</f>
        <v>High Profit</v>
      </c>
      <c r="O842" t="str">
        <f>TEXT(SalesTbl[[#This Row],[Date]],"mmm")</f>
        <v>Apr</v>
      </c>
    </row>
    <row r="843" spans="1:15" x14ac:dyDescent="0.3">
      <c r="A843">
        <v>1842</v>
      </c>
      <c r="B843" t="s">
        <v>109</v>
      </c>
      <c r="C843" t="s">
        <v>21</v>
      </c>
      <c r="D843" t="s">
        <v>32</v>
      </c>
      <c r="E843" t="s">
        <v>54</v>
      </c>
      <c r="F843" t="s">
        <v>17</v>
      </c>
      <c r="G843">
        <v>10</v>
      </c>
      <c r="H843">
        <v>608</v>
      </c>
      <c r="I843">
        <v>6080</v>
      </c>
      <c r="J843">
        <v>4560</v>
      </c>
      <c r="K843">
        <v>1520</v>
      </c>
      <c r="L843" t="s">
        <v>28</v>
      </c>
      <c r="M843" t="s">
        <v>19</v>
      </c>
      <c r="N843" t="str">
        <f>IF(SalesTbl[[#This Row],[Profit]]&gt;180,"High Profit","Low Profit")</f>
        <v>High Profit</v>
      </c>
      <c r="O843" t="str">
        <f>TEXT(SalesTbl[[#This Row],[Date]],"mmm")</f>
        <v>Apr</v>
      </c>
    </row>
    <row r="844" spans="1:15" x14ac:dyDescent="0.3">
      <c r="A844">
        <v>1843</v>
      </c>
      <c r="B844" t="s">
        <v>71</v>
      </c>
      <c r="C844" t="s">
        <v>21</v>
      </c>
      <c r="D844" t="s">
        <v>35</v>
      </c>
      <c r="E844" t="s">
        <v>22</v>
      </c>
      <c r="F844" t="s">
        <v>23</v>
      </c>
      <c r="G844">
        <v>4</v>
      </c>
      <c r="H844">
        <v>153</v>
      </c>
      <c r="I844">
        <v>612</v>
      </c>
      <c r="J844">
        <v>403</v>
      </c>
      <c r="K844">
        <v>209</v>
      </c>
      <c r="L844" t="s">
        <v>28</v>
      </c>
      <c r="M844" t="s">
        <v>19</v>
      </c>
      <c r="N844" t="str">
        <f>IF(SalesTbl[[#This Row],[Profit]]&gt;180,"High Profit","Low Profit")</f>
        <v>High Profit</v>
      </c>
      <c r="O844" t="str">
        <f>TEXT(SalesTbl[[#This Row],[Date]],"mmm")</f>
        <v>Apr</v>
      </c>
    </row>
    <row r="845" spans="1:15" x14ac:dyDescent="0.3">
      <c r="A845">
        <v>1844</v>
      </c>
      <c r="B845" t="s">
        <v>91</v>
      </c>
      <c r="C845" t="s">
        <v>31</v>
      </c>
      <c r="D845" t="s">
        <v>32</v>
      </c>
      <c r="E845" t="s">
        <v>27</v>
      </c>
      <c r="F845" t="s">
        <v>17</v>
      </c>
      <c r="G845">
        <v>2</v>
      </c>
      <c r="H845">
        <v>922</v>
      </c>
      <c r="I845">
        <v>1844</v>
      </c>
      <c r="J845">
        <v>1419</v>
      </c>
      <c r="K845">
        <v>425</v>
      </c>
      <c r="L845" t="s">
        <v>33</v>
      </c>
      <c r="M845" t="s">
        <v>29</v>
      </c>
      <c r="N845" t="str">
        <f>IF(SalesTbl[[#This Row],[Profit]]&gt;180,"High Profit","Low Profit")</f>
        <v>High Profit</v>
      </c>
      <c r="O845" t="str">
        <f>TEXT(SalesTbl[[#This Row],[Date]],"mmm")</f>
        <v>Feb</v>
      </c>
    </row>
    <row r="846" spans="1:15" x14ac:dyDescent="0.3">
      <c r="A846">
        <v>1845</v>
      </c>
      <c r="B846" t="s">
        <v>66</v>
      </c>
      <c r="C846" t="s">
        <v>21</v>
      </c>
      <c r="D846" t="s">
        <v>15</v>
      </c>
      <c r="E846" t="s">
        <v>41</v>
      </c>
      <c r="F846" t="s">
        <v>17</v>
      </c>
      <c r="G846">
        <v>5</v>
      </c>
      <c r="H846">
        <v>731</v>
      </c>
      <c r="I846">
        <v>3655</v>
      </c>
      <c r="J846">
        <v>2924</v>
      </c>
      <c r="K846">
        <v>731</v>
      </c>
      <c r="L846" t="s">
        <v>38</v>
      </c>
      <c r="M846" t="s">
        <v>19</v>
      </c>
      <c r="N846" t="str">
        <f>IF(SalesTbl[[#This Row],[Profit]]&gt;180,"High Profit","Low Profit")</f>
        <v>High Profit</v>
      </c>
      <c r="O846" t="str">
        <f>TEXT(SalesTbl[[#This Row],[Date]],"mmm")</f>
        <v>Apr</v>
      </c>
    </row>
    <row r="847" spans="1:15" x14ac:dyDescent="0.3">
      <c r="A847">
        <v>1846</v>
      </c>
      <c r="B847" t="s">
        <v>99</v>
      </c>
      <c r="C847" t="s">
        <v>21</v>
      </c>
      <c r="D847" t="s">
        <v>26</v>
      </c>
      <c r="E847" t="s">
        <v>27</v>
      </c>
      <c r="F847" t="s">
        <v>17</v>
      </c>
      <c r="G847">
        <v>7</v>
      </c>
      <c r="H847">
        <v>884</v>
      </c>
      <c r="I847">
        <v>6188</v>
      </c>
      <c r="J847">
        <v>4084</v>
      </c>
      <c r="K847">
        <v>2104</v>
      </c>
      <c r="L847" t="s">
        <v>24</v>
      </c>
      <c r="M847" t="s">
        <v>19</v>
      </c>
      <c r="N847" t="str">
        <f>IF(SalesTbl[[#This Row],[Profit]]&gt;180,"High Profit","Low Profit")</f>
        <v>High Profit</v>
      </c>
      <c r="O847" t="str">
        <f>TEXT(SalesTbl[[#This Row],[Date]],"mmm")</f>
        <v>Jun</v>
      </c>
    </row>
    <row r="848" spans="1:15" x14ac:dyDescent="0.3">
      <c r="A848">
        <v>1847</v>
      </c>
      <c r="B848" t="s">
        <v>185</v>
      </c>
      <c r="C848" t="s">
        <v>31</v>
      </c>
      <c r="D848" t="s">
        <v>32</v>
      </c>
      <c r="E848" t="s">
        <v>48</v>
      </c>
      <c r="F848" t="s">
        <v>23</v>
      </c>
      <c r="G848">
        <v>1</v>
      </c>
      <c r="H848">
        <v>869</v>
      </c>
      <c r="I848">
        <v>869</v>
      </c>
      <c r="J848">
        <v>608</v>
      </c>
      <c r="K848">
        <v>261</v>
      </c>
      <c r="L848" t="s">
        <v>18</v>
      </c>
      <c r="M848" t="s">
        <v>29</v>
      </c>
      <c r="N848" t="str">
        <f>IF(SalesTbl[[#This Row],[Profit]]&gt;180,"High Profit","Low Profit")</f>
        <v>High Profit</v>
      </c>
      <c r="O848" t="str">
        <f>TEXT(SalesTbl[[#This Row],[Date]],"mmm")</f>
        <v>Jun</v>
      </c>
    </row>
    <row r="849" spans="1:15" x14ac:dyDescent="0.3">
      <c r="A849">
        <v>1848</v>
      </c>
      <c r="B849" t="s">
        <v>164</v>
      </c>
      <c r="C849" t="s">
        <v>21</v>
      </c>
      <c r="D849" t="s">
        <v>15</v>
      </c>
      <c r="E849" t="s">
        <v>22</v>
      </c>
      <c r="F849" t="s">
        <v>23</v>
      </c>
      <c r="G849">
        <v>6</v>
      </c>
      <c r="H849">
        <v>991</v>
      </c>
      <c r="I849">
        <v>5946</v>
      </c>
      <c r="J849">
        <v>4043</v>
      </c>
      <c r="K849">
        <v>1903</v>
      </c>
      <c r="L849" t="s">
        <v>33</v>
      </c>
      <c r="M849" t="s">
        <v>29</v>
      </c>
      <c r="N849" t="str">
        <f>IF(SalesTbl[[#This Row],[Profit]]&gt;180,"High Profit","Low Profit")</f>
        <v>High Profit</v>
      </c>
      <c r="O849" t="str">
        <f>TEXT(SalesTbl[[#This Row],[Date]],"mmm")</f>
        <v>May</v>
      </c>
    </row>
    <row r="850" spans="1:15" x14ac:dyDescent="0.3">
      <c r="A850">
        <v>1849</v>
      </c>
      <c r="B850" t="s">
        <v>79</v>
      </c>
      <c r="C850" t="s">
        <v>14</v>
      </c>
      <c r="D850" t="s">
        <v>35</v>
      </c>
      <c r="E850" t="s">
        <v>27</v>
      </c>
      <c r="F850" t="s">
        <v>17</v>
      </c>
      <c r="G850">
        <v>3</v>
      </c>
      <c r="H850">
        <v>504</v>
      </c>
      <c r="I850">
        <v>1512</v>
      </c>
      <c r="J850">
        <v>982</v>
      </c>
      <c r="K850">
        <v>530</v>
      </c>
      <c r="L850" t="s">
        <v>18</v>
      </c>
      <c r="M850" t="s">
        <v>29</v>
      </c>
      <c r="N850" t="str">
        <f>IF(SalesTbl[[#This Row],[Profit]]&gt;180,"High Profit","Low Profit")</f>
        <v>High Profit</v>
      </c>
      <c r="O850" t="str">
        <f>TEXT(SalesTbl[[#This Row],[Date]],"mmm")</f>
        <v>May</v>
      </c>
    </row>
    <row r="851" spans="1:15" x14ac:dyDescent="0.3">
      <c r="A851">
        <v>1850</v>
      </c>
      <c r="B851" t="s">
        <v>205</v>
      </c>
      <c r="C851" t="s">
        <v>31</v>
      </c>
      <c r="D851" t="s">
        <v>35</v>
      </c>
      <c r="E851" t="s">
        <v>27</v>
      </c>
      <c r="F851" t="s">
        <v>17</v>
      </c>
      <c r="G851">
        <v>3</v>
      </c>
      <c r="H851">
        <v>993</v>
      </c>
      <c r="I851">
        <v>2979</v>
      </c>
      <c r="J851">
        <v>2025</v>
      </c>
      <c r="K851">
        <v>954</v>
      </c>
      <c r="L851" t="s">
        <v>28</v>
      </c>
      <c r="M851" t="s">
        <v>19</v>
      </c>
      <c r="N851" t="str">
        <f>IF(SalesTbl[[#This Row],[Profit]]&gt;180,"High Profit","Low Profit")</f>
        <v>High Profit</v>
      </c>
      <c r="O851" t="str">
        <f>TEXT(SalesTbl[[#This Row],[Date]],"mmm")</f>
        <v>Feb</v>
      </c>
    </row>
    <row r="852" spans="1:15" x14ac:dyDescent="0.3">
      <c r="A852">
        <v>1851</v>
      </c>
      <c r="B852" t="s">
        <v>192</v>
      </c>
      <c r="C852" t="s">
        <v>40</v>
      </c>
      <c r="D852" t="s">
        <v>15</v>
      </c>
      <c r="E852" t="s">
        <v>48</v>
      </c>
      <c r="F852" t="s">
        <v>23</v>
      </c>
      <c r="G852">
        <v>10</v>
      </c>
      <c r="H852">
        <v>458</v>
      </c>
      <c r="I852">
        <v>4580</v>
      </c>
      <c r="J852">
        <v>3022</v>
      </c>
      <c r="K852">
        <v>1558</v>
      </c>
      <c r="L852" t="s">
        <v>38</v>
      </c>
      <c r="M852" t="s">
        <v>29</v>
      </c>
      <c r="N852" t="str">
        <f>IF(SalesTbl[[#This Row],[Profit]]&gt;180,"High Profit","Low Profit")</f>
        <v>High Profit</v>
      </c>
      <c r="O852" t="str">
        <f>TEXT(SalesTbl[[#This Row],[Date]],"mmm")</f>
        <v>May</v>
      </c>
    </row>
    <row r="853" spans="1:15" x14ac:dyDescent="0.3">
      <c r="A853">
        <v>1852</v>
      </c>
      <c r="B853" t="s">
        <v>210</v>
      </c>
      <c r="C853" t="s">
        <v>31</v>
      </c>
      <c r="D853" t="s">
        <v>15</v>
      </c>
      <c r="E853" t="s">
        <v>27</v>
      </c>
      <c r="F853" t="s">
        <v>17</v>
      </c>
      <c r="G853">
        <v>5</v>
      </c>
      <c r="H853">
        <v>426</v>
      </c>
      <c r="I853">
        <v>2130</v>
      </c>
      <c r="J853">
        <v>1448</v>
      </c>
      <c r="K853">
        <v>682</v>
      </c>
      <c r="L853" t="s">
        <v>28</v>
      </c>
      <c r="M853" t="s">
        <v>19</v>
      </c>
      <c r="N853" t="str">
        <f>IF(SalesTbl[[#This Row],[Profit]]&gt;180,"High Profit","Low Profit")</f>
        <v>High Profit</v>
      </c>
      <c r="O853" t="str">
        <f>TEXT(SalesTbl[[#This Row],[Date]],"mmm")</f>
        <v>Apr</v>
      </c>
    </row>
    <row r="854" spans="1:15" x14ac:dyDescent="0.3">
      <c r="A854">
        <v>1853</v>
      </c>
      <c r="B854" t="s">
        <v>175</v>
      </c>
      <c r="C854" t="s">
        <v>21</v>
      </c>
      <c r="D854" t="s">
        <v>35</v>
      </c>
      <c r="E854" t="s">
        <v>27</v>
      </c>
      <c r="F854" t="s">
        <v>17</v>
      </c>
      <c r="G854">
        <v>3</v>
      </c>
      <c r="H854">
        <v>159</v>
      </c>
      <c r="I854">
        <v>477</v>
      </c>
      <c r="J854">
        <v>362</v>
      </c>
      <c r="K854">
        <v>115</v>
      </c>
      <c r="L854" t="s">
        <v>24</v>
      </c>
      <c r="M854" t="s">
        <v>29</v>
      </c>
      <c r="N854" t="str">
        <f>IF(SalesTbl[[#This Row],[Profit]]&gt;180,"High Profit","Low Profit")</f>
        <v>Low Profit</v>
      </c>
      <c r="O854" t="str">
        <f>TEXT(SalesTbl[[#This Row],[Date]],"mmm")</f>
        <v>May</v>
      </c>
    </row>
    <row r="855" spans="1:15" x14ac:dyDescent="0.3">
      <c r="A855">
        <v>1854</v>
      </c>
      <c r="B855" t="s">
        <v>118</v>
      </c>
      <c r="C855" t="s">
        <v>14</v>
      </c>
      <c r="D855" t="s">
        <v>32</v>
      </c>
      <c r="E855" t="s">
        <v>41</v>
      </c>
      <c r="F855" t="s">
        <v>17</v>
      </c>
      <c r="G855">
        <v>7</v>
      </c>
      <c r="H855">
        <v>822</v>
      </c>
      <c r="I855">
        <v>5754</v>
      </c>
      <c r="J855">
        <v>4488</v>
      </c>
      <c r="K855">
        <v>1266</v>
      </c>
      <c r="L855" t="s">
        <v>18</v>
      </c>
      <c r="M855" t="s">
        <v>29</v>
      </c>
      <c r="N855" t="str">
        <f>IF(SalesTbl[[#This Row],[Profit]]&gt;180,"High Profit","Low Profit")</f>
        <v>High Profit</v>
      </c>
      <c r="O855" t="str">
        <f>TEXT(SalesTbl[[#This Row],[Date]],"mmm")</f>
        <v>Jun</v>
      </c>
    </row>
    <row r="856" spans="1:15" x14ac:dyDescent="0.3">
      <c r="A856">
        <v>1855</v>
      </c>
      <c r="B856" t="s">
        <v>141</v>
      </c>
      <c r="C856" t="s">
        <v>21</v>
      </c>
      <c r="D856" t="s">
        <v>35</v>
      </c>
      <c r="E856" t="s">
        <v>48</v>
      </c>
      <c r="F856" t="s">
        <v>23</v>
      </c>
      <c r="G856">
        <v>8</v>
      </c>
      <c r="H856">
        <v>758</v>
      </c>
      <c r="I856">
        <v>6064</v>
      </c>
      <c r="J856">
        <v>4244</v>
      </c>
      <c r="K856">
        <v>1820</v>
      </c>
      <c r="L856" t="s">
        <v>24</v>
      </c>
      <c r="M856" t="s">
        <v>29</v>
      </c>
      <c r="N856" t="str">
        <f>IF(SalesTbl[[#This Row],[Profit]]&gt;180,"High Profit","Low Profit")</f>
        <v>High Profit</v>
      </c>
      <c r="O856" t="str">
        <f>TEXT(SalesTbl[[#This Row],[Date]],"mmm")</f>
        <v>Jan</v>
      </c>
    </row>
    <row r="857" spans="1:15" x14ac:dyDescent="0.3">
      <c r="A857">
        <v>1856</v>
      </c>
      <c r="B857" t="s">
        <v>68</v>
      </c>
      <c r="C857" t="s">
        <v>14</v>
      </c>
      <c r="D857" t="s">
        <v>15</v>
      </c>
      <c r="E857" t="s">
        <v>16</v>
      </c>
      <c r="F857" t="s">
        <v>17</v>
      </c>
      <c r="G857">
        <v>7</v>
      </c>
      <c r="H857">
        <v>449</v>
      </c>
      <c r="I857">
        <v>3143</v>
      </c>
      <c r="J857">
        <v>2262</v>
      </c>
      <c r="K857">
        <v>881</v>
      </c>
      <c r="L857" t="s">
        <v>18</v>
      </c>
      <c r="M857" t="s">
        <v>29</v>
      </c>
      <c r="N857" t="str">
        <f>IF(SalesTbl[[#This Row],[Profit]]&gt;180,"High Profit","Low Profit")</f>
        <v>High Profit</v>
      </c>
      <c r="O857" t="str">
        <f>TEXT(SalesTbl[[#This Row],[Date]],"mmm")</f>
        <v>Apr</v>
      </c>
    </row>
    <row r="858" spans="1:15" x14ac:dyDescent="0.3">
      <c r="A858">
        <v>1857</v>
      </c>
      <c r="B858" t="s">
        <v>51</v>
      </c>
      <c r="C858" t="s">
        <v>31</v>
      </c>
      <c r="D858" t="s">
        <v>35</v>
      </c>
      <c r="E858" t="s">
        <v>48</v>
      </c>
      <c r="F858" t="s">
        <v>23</v>
      </c>
      <c r="G858">
        <v>5</v>
      </c>
      <c r="H858">
        <v>793</v>
      </c>
      <c r="I858">
        <v>3965</v>
      </c>
      <c r="J858">
        <v>2537</v>
      </c>
      <c r="K858">
        <v>1428</v>
      </c>
      <c r="L858" t="s">
        <v>33</v>
      </c>
      <c r="M858" t="s">
        <v>19</v>
      </c>
      <c r="N858" t="str">
        <f>IF(SalesTbl[[#This Row],[Profit]]&gt;180,"High Profit","Low Profit")</f>
        <v>High Profit</v>
      </c>
      <c r="O858" t="str">
        <f>TEXT(SalesTbl[[#This Row],[Date]],"mmm")</f>
        <v>May</v>
      </c>
    </row>
    <row r="859" spans="1:15" x14ac:dyDescent="0.3">
      <c r="A859">
        <v>1858</v>
      </c>
      <c r="B859" t="s">
        <v>152</v>
      </c>
      <c r="C859" t="s">
        <v>21</v>
      </c>
      <c r="D859" t="s">
        <v>15</v>
      </c>
      <c r="E859" t="s">
        <v>54</v>
      </c>
      <c r="F859" t="s">
        <v>17</v>
      </c>
      <c r="G859">
        <v>10</v>
      </c>
      <c r="H859">
        <v>480</v>
      </c>
      <c r="I859">
        <v>4800</v>
      </c>
      <c r="J859">
        <v>3600</v>
      </c>
      <c r="K859">
        <v>1200</v>
      </c>
      <c r="L859" t="s">
        <v>18</v>
      </c>
      <c r="M859" t="s">
        <v>19</v>
      </c>
      <c r="N859" t="str">
        <f>IF(SalesTbl[[#This Row],[Profit]]&gt;180,"High Profit","Low Profit")</f>
        <v>High Profit</v>
      </c>
      <c r="O859" t="str">
        <f>TEXT(SalesTbl[[#This Row],[Date]],"mmm")</f>
        <v>Apr</v>
      </c>
    </row>
    <row r="860" spans="1:15" x14ac:dyDescent="0.3">
      <c r="A860">
        <v>1859</v>
      </c>
      <c r="B860" t="s">
        <v>163</v>
      </c>
      <c r="C860" t="s">
        <v>14</v>
      </c>
      <c r="D860" t="s">
        <v>26</v>
      </c>
      <c r="E860" t="s">
        <v>22</v>
      </c>
      <c r="F860" t="s">
        <v>23</v>
      </c>
      <c r="G860">
        <v>1</v>
      </c>
      <c r="H860">
        <v>364</v>
      </c>
      <c r="I860">
        <v>364</v>
      </c>
      <c r="J860">
        <v>273</v>
      </c>
      <c r="K860">
        <v>91</v>
      </c>
      <c r="L860" t="s">
        <v>18</v>
      </c>
      <c r="M860" t="s">
        <v>29</v>
      </c>
      <c r="N860" t="str">
        <f>IF(SalesTbl[[#This Row],[Profit]]&gt;180,"High Profit","Low Profit")</f>
        <v>Low Profit</v>
      </c>
      <c r="O860" t="str">
        <f>TEXT(SalesTbl[[#This Row],[Date]],"mmm")</f>
        <v>Feb</v>
      </c>
    </row>
    <row r="861" spans="1:15" x14ac:dyDescent="0.3">
      <c r="A861">
        <v>1292</v>
      </c>
      <c r="B861" t="s">
        <v>114</v>
      </c>
      <c r="C861" t="s">
        <v>40</v>
      </c>
      <c r="D861" t="s">
        <v>32</v>
      </c>
      <c r="E861" t="s">
        <v>54</v>
      </c>
      <c r="F861" t="s">
        <v>17</v>
      </c>
      <c r="G861">
        <v>9</v>
      </c>
      <c r="H861">
        <v>66</v>
      </c>
      <c r="I861">
        <v>594</v>
      </c>
      <c r="J861">
        <v>427</v>
      </c>
      <c r="K861">
        <v>167</v>
      </c>
      <c r="L861" t="s">
        <v>38</v>
      </c>
      <c r="M861" t="s">
        <v>29</v>
      </c>
      <c r="N861" t="str">
        <f>IF(SalesTbl[[#This Row],[Profit]]&gt;180,"High Profit","Low Profit")</f>
        <v>Low Profit</v>
      </c>
      <c r="O861" t="str">
        <f>TEXT(SalesTbl[[#This Row],[Date]],"mmm")</f>
        <v>Jan</v>
      </c>
    </row>
    <row r="862" spans="1:15" x14ac:dyDescent="0.3">
      <c r="A862">
        <v>1861</v>
      </c>
      <c r="B862" t="s">
        <v>117</v>
      </c>
      <c r="C862" t="s">
        <v>40</v>
      </c>
      <c r="D862" t="s">
        <v>32</v>
      </c>
      <c r="E862" t="s">
        <v>48</v>
      </c>
      <c r="F862" t="s">
        <v>23</v>
      </c>
      <c r="G862">
        <v>9</v>
      </c>
      <c r="H862">
        <v>754</v>
      </c>
      <c r="I862">
        <v>6786</v>
      </c>
      <c r="J862">
        <v>5360</v>
      </c>
      <c r="K862">
        <v>1426</v>
      </c>
      <c r="L862" t="s">
        <v>18</v>
      </c>
      <c r="M862" t="s">
        <v>29</v>
      </c>
      <c r="N862" t="str">
        <f>IF(SalesTbl[[#This Row],[Profit]]&gt;180,"High Profit","Low Profit")</f>
        <v>High Profit</v>
      </c>
      <c r="O862" t="str">
        <f>TEXT(SalesTbl[[#This Row],[Date]],"mmm")</f>
        <v>Jun</v>
      </c>
    </row>
    <row r="863" spans="1:15" x14ac:dyDescent="0.3">
      <c r="A863">
        <v>1862</v>
      </c>
      <c r="B863" t="s">
        <v>147</v>
      </c>
      <c r="C863" t="s">
        <v>21</v>
      </c>
      <c r="D863" t="s">
        <v>26</v>
      </c>
      <c r="E863" t="s">
        <v>27</v>
      </c>
      <c r="F863" t="s">
        <v>17</v>
      </c>
      <c r="G863">
        <v>8</v>
      </c>
      <c r="H863">
        <v>355</v>
      </c>
      <c r="I863">
        <v>2840</v>
      </c>
      <c r="J863">
        <v>1902</v>
      </c>
      <c r="K863">
        <v>938</v>
      </c>
      <c r="L863" t="s">
        <v>33</v>
      </c>
      <c r="M863" t="s">
        <v>29</v>
      </c>
      <c r="N863" t="str">
        <f>IF(SalesTbl[[#This Row],[Profit]]&gt;180,"High Profit","Low Profit")</f>
        <v>High Profit</v>
      </c>
      <c r="O863" t="str">
        <f>TEXT(SalesTbl[[#This Row],[Date]],"mmm")</f>
        <v>Jan</v>
      </c>
    </row>
    <row r="864" spans="1:15" x14ac:dyDescent="0.3">
      <c r="A864">
        <v>1863</v>
      </c>
      <c r="B864" t="s">
        <v>123</v>
      </c>
      <c r="C864" t="s">
        <v>31</v>
      </c>
      <c r="D864" t="s">
        <v>32</v>
      </c>
      <c r="E864" t="s">
        <v>54</v>
      </c>
      <c r="F864" t="s">
        <v>17</v>
      </c>
      <c r="G864">
        <v>4</v>
      </c>
      <c r="H864">
        <v>814</v>
      </c>
      <c r="I864">
        <v>3256</v>
      </c>
      <c r="J864">
        <v>2474</v>
      </c>
      <c r="K864">
        <v>782</v>
      </c>
      <c r="L864" t="s">
        <v>33</v>
      </c>
      <c r="M864" t="s">
        <v>19</v>
      </c>
      <c r="N864" t="str">
        <f>IF(SalesTbl[[#This Row],[Profit]]&gt;180,"High Profit","Low Profit")</f>
        <v>High Profit</v>
      </c>
      <c r="O864" t="str">
        <f>TEXT(SalesTbl[[#This Row],[Date]],"mmm")</f>
        <v>Jan</v>
      </c>
    </row>
    <row r="865" spans="1:15" x14ac:dyDescent="0.3">
      <c r="A865">
        <v>1864</v>
      </c>
      <c r="B865" t="s">
        <v>165</v>
      </c>
      <c r="C865" t="s">
        <v>31</v>
      </c>
      <c r="D865" t="s">
        <v>15</v>
      </c>
      <c r="E865" t="s">
        <v>16</v>
      </c>
      <c r="F865" t="s">
        <v>17</v>
      </c>
      <c r="G865">
        <v>6</v>
      </c>
      <c r="H865">
        <v>847</v>
      </c>
      <c r="I865">
        <v>5082</v>
      </c>
      <c r="J865">
        <v>3404</v>
      </c>
      <c r="K865">
        <v>1678</v>
      </c>
      <c r="L865" t="s">
        <v>33</v>
      </c>
      <c r="M865" t="s">
        <v>19</v>
      </c>
      <c r="N865" t="str">
        <f>IF(SalesTbl[[#This Row],[Profit]]&gt;180,"High Profit","Low Profit")</f>
        <v>High Profit</v>
      </c>
      <c r="O865" t="str">
        <f>TEXT(SalesTbl[[#This Row],[Date]],"mmm")</f>
        <v>Mar</v>
      </c>
    </row>
    <row r="866" spans="1:15" x14ac:dyDescent="0.3">
      <c r="A866">
        <v>1865</v>
      </c>
      <c r="B866" t="s">
        <v>72</v>
      </c>
      <c r="C866" t="s">
        <v>31</v>
      </c>
      <c r="D866" t="s">
        <v>26</v>
      </c>
      <c r="E866" t="s">
        <v>22</v>
      </c>
      <c r="F866" t="s">
        <v>23</v>
      </c>
      <c r="G866">
        <v>7</v>
      </c>
      <c r="H866">
        <v>809</v>
      </c>
      <c r="I866">
        <v>5663</v>
      </c>
      <c r="J866">
        <v>3567</v>
      </c>
      <c r="K866">
        <v>2096</v>
      </c>
      <c r="L866" t="s">
        <v>28</v>
      </c>
      <c r="M866" t="s">
        <v>29</v>
      </c>
      <c r="N866" t="str">
        <f>IF(SalesTbl[[#This Row],[Profit]]&gt;180,"High Profit","Low Profit")</f>
        <v>High Profit</v>
      </c>
      <c r="O866" t="str">
        <f>TEXT(SalesTbl[[#This Row],[Date]],"mmm")</f>
        <v>Mar</v>
      </c>
    </row>
    <row r="867" spans="1:15" x14ac:dyDescent="0.3">
      <c r="A867">
        <v>1866</v>
      </c>
      <c r="B867" t="s">
        <v>136</v>
      </c>
      <c r="C867" t="s">
        <v>31</v>
      </c>
      <c r="D867" t="s">
        <v>15</v>
      </c>
      <c r="E867" t="s">
        <v>48</v>
      </c>
      <c r="F867" t="s">
        <v>23</v>
      </c>
      <c r="G867">
        <v>4</v>
      </c>
      <c r="H867">
        <v>272</v>
      </c>
      <c r="I867">
        <v>1088</v>
      </c>
      <c r="J867">
        <v>674</v>
      </c>
      <c r="K867">
        <v>414</v>
      </c>
      <c r="L867" t="s">
        <v>18</v>
      </c>
      <c r="M867" t="s">
        <v>29</v>
      </c>
      <c r="N867" t="str">
        <f>IF(SalesTbl[[#This Row],[Profit]]&gt;180,"High Profit","Low Profit")</f>
        <v>High Profit</v>
      </c>
      <c r="O867" t="str">
        <f>TEXT(SalesTbl[[#This Row],[Date]],"mmm")</f>
        <v>Feb</v>
      </c>
    </row>
    <row r="868" spans="1:15" x14ac:dyDescent="0.3">
      <c r="A868">
        <v>1867</v>
      </c>
      <c r="B868" t="s">
        <v>135</v>
      </c>
      <c r="C868" t="s">
        <v>14</v>
      </c>
      <c r="D868" t="s">
        <v>32</v>
      </c>
      <c r="E868" t="s">
        <v>54</v>
      </c>
      <c r="F868" t="s">
        <v>17</v>
      </c>
      <c r="G868">
        <v>5</v>
      </c>
      <c r="H868">
        <v>866</v>
      </c>
      <c r="I868">
        <v>4330</v>
      </c>
      <c r="J868">
        <v>2944</v>
      </c>
      <c r="K868">
        <v>1386</v>
      </c>
      <c r="L868" t="s">
        <v>33</v>
      </c>
      <c r="M868" t="s">
        <v>29</v>
      </c>
      <c r="N868" t="str">
        <f>IF(SalesTbl[[#This Row],[Profit]]&gt;180,"High Profit","Low Profit")</f>
        <v>High Profit</v>
      </c>
      <c r="O868" t="str">
        <f>TEXT(SalesTbl[[#This Row],[Date]],"mmm")</f>
        <v>May</v>
      </c>
    </row>
    <row r="869" spans="1:15" x14ac:dyDescent="0.3">
      <c r="A869">
        <v>1868</v>
      </c>
      <c r="B869" t="s">
        <v>179</v>
      </c>
      <c r="C869" t="s">
        <v>21</v>
      </c>
      <c r="D869" t="s">
        <v>26</v>
      </c>
      <c r="E869" t="s">
        <v>27</v>
      </c>
      <c r="F869" t="s">
        <v>17</v>
      </c>
      <c r="G869">
        <v>3</v>
      </c>
      <c r="H869">
        <v>76</v>
      </c>
      <c r="I869">
        <v>228</v>
      </c>
      <c r="J869">
        <v>166</v>
      </c>
      <c r="K869">
        <v>62</v>
      </c>
      <c r="L869" t="s">
        <v>24</v>
      </c>
      <c r="M869" t="s">
        <v>29</v>
      </c>
      <c r="N869" t="str">
        <f>IF(SalesTbl[[#This Row],[Profit]]&gt;180,"High Profit","Low Profit")</f>
        <v>Low Profit</v>
      </c>
      <c r="O869" t="str">
        <f>TEXT(SalesTbl[[#This Row],[Date]],"mmm")</f>
        <v>May</v>
      </c>
    </row>
    <row r="870" spans="1:15" x14ac:dyDescent="0.3">
      <c r="A870">
        <v>1869</v>
      </c>
      <c r="B870" t="s">
        <v>44</v>
      </c>
      <c r="C870" t="s">
        <v>14</v>
      </c>
      <c r="D870" t="s">
        <v>26</v>
      </c>
      <c r="E870" t="s">
        <v>22</v>
      </c>
      <c r="F870" t="s">
        <v>23</v>
      </c>
      <c r="G870">
        <v>8</v>
      </c>
      <c r="H870">
        <v>446</v>
      </c>
      <c r="I870">
        <v>3568</v>
      </c>
      <c r="J870">
        <v>2283</v>
      </c>
      <c r="K870">
        <v>1285</v>
      </c>
      <c r="L870" t="s">
        <v>18</v>
      </c>
      <c r="M870" t="s">
        <v>19</v>
      </c>
      <c r="N870" t="str">
        <f>IF(SalesTbl[[#This Row],[Profit]]&gt;180,"High Profit","Low Profit")</f>
        <v>High Profit</v>
      </c>
      <c r="O870" t="str">
        <f>TEXT(SalesTbl[[#This Row],[Date]],"mmm")</f>
        <v>Jan</v>
      </c>
    </row>
    <row r="871" spans="1:15" x14ac:dyDescent="0.3">
      <c r="A871">
        <v>1870</v>
      </c>
      <c r="B871" t="s">
        <v>72</v>
      </c>
      <c r="C871" t="s">
        <v>31</v>
      </c>
      <c r="D871" t="s">
        <v>15</v>
      </c>
      <c r="E871" t="s">
        <v>22</v>
      </c>
      <c r="F871" t="s">
        <v>23</v>
      </c>
      <c r="G871">
        <v>5</v>
      </c>
      <c r="H871">
        <v>67</v>
      </c>
      <c r="I871">
        <v>335</v>
      </c>
      <c r="J871">
        <v>251</v>
      </c>
      <c r="K871">
        <v>84</v>
      </c>
      <c r="L871" t="s">
        <v>38</v>
      </c>
      <c r="M871" t="s">
        <v>19</v>
      </c>
      <c r="N871" t="str">
        <f>IF(SalesTbl[[#This Row],[Profit]]&gt;180,"High Profit","Low Profit")</f>
        <v>Low Profit</v>
      </c>
      <c r="O871" t="str">
        <f>TEXT(SalesTbl[[#This Row],[Date]],"mmm")</f>
        <v>Mar</v>
      </c>
    </row>
    <row r="872" spans="1:15" x14ac:dyDescent="0.3">
      <c r="A872">
        <v>1871</v>
      </c>
      <c r="B872" t="s">
        <v>208</v>
      </c>
      <c r="C872" t="s">
        <v>14</v>
      </c>
      <c r="D872" t="s">
        <v>26</v>
      </c>
      <c r="E872" t="s">
        <v>22</v>
      </c>
      <c r="F872" t="s">
        <v>23</v>
      </c>
      <c r="G872">
        <v>4</v>
      </c>
      <c r="H872">
        <v>702</v>
      </c>
      <c r="I872">
        <v>2808</v>
      </c>
      <c r="J872">
        <v>2049</v>
      </c>
      <c r="K872">
        <v>759</v>
      </c>
      <c r="L872" t="s">
        <v>24</v>
      </c>
      <c r="M872" t="s">
        <v>29</v>
      </c>
      <c r="N872" t="str">
        <f>IF(SalesTbl[[#This Row],[Profit]]&gt;180,"High Profit","Low Profit")</f>
        <v>High Profit</v>
      </c>
      <c r="O872" t="str">
        <f>TEXT(SalesTbl[[#This Row],[Date]],"mmm")</f>
        <v>Jun</v>
      </c>
    </row>
    <row r="873" spans="1:15" x14ac:dyDescent="0.3">
      <c r="A873">
        <v>1872</v>
      </c>
      <c r="B873" t="s">
        <v>86</v>
      </c>
      <c r="C873" t="s">
        <v>14</v>
      </c>
      <c r="D873" t="s">
        <v>35</v>
      </c>
      <c r="E873" t="s">
        <v>22</v>
      </c>
      <c r="F873" t="s">
        <v>23</v>
      </c>
      <c r="G873">
        <v>8</v>
      </c>
      <c r="H873">
        <v>684</v>
      </c>
      <c r="I873">
        <v>5472</v>
      </c>
      <c r="J873">
        <v>3392</v>
      </c>
      <c r="K873">
        <v>2080</v>
      </c>
      <c r="L873" t="s">
        <v>18</v>
      </c>
      <c r="M873" t="s">
        <v>29</v>
      </c>
      <c r="N873" t="str">
        <f>IF(SalesTbl[[#This Row],[Profit]]&gt;180,"High Profit","Low Profit")</f>
        <v>High Profit</v>
      </c>
      <c r="O873" t="str">
        <f>TEXT(SalesTbl[[#This Row],[Date]],"mmm")</f>
        <v>Apr</v>
      </c>
    </row>
    <row r="874" spans="1:15" x14ac:dyDescent="0.3">
      <c r="A874">
        <v>1873</v>
      </c>
      <c r="B874" t="s">
        <v>25</v>
      </c>
      <c r="C874" t="s">
        <v>21</v>
      </c>
      <c r="D874" t="s">
        <v>15</v>
      </c>
      <c r="E874" t="s">
        <v>48</v>
      </c>
      <c r="F874" t="s">
        <v>23</v>
      </c>
      <c r="G874">
        <v>9</v>
      </c>
      <c r="H874">
        <v>402</v>
      </c>
      <c r="I874">
        <v>3618</v>
      </c>
      <c r="J874">
        <v>2351</v>
      </c>
      <c r="K874">
        <v>1267</v>
      </c>
      <c r="L874" t="s">
        <v>24</v>
      </c>
      <c r="M874" t="s">
        <v>19</v>
      </c>
      <c r="N874" t="str">
        <f>IF(SalesTbl[[#This Row],[Profit]]&gt;180,"High Profit","Low Profit")</f>
        <v>High Profit</v>
      </c>
      <c r="O874" t="str">
        <f>TEXT(SalesTbl[[#This Row],[Date]],"mmm")</f>
        <v>Feb</v>
      </c>
    </row>
    <row r="875" spans="1:15" x14ac:dyDescent="0.3">
      <c r="A875">
        <v>1874</v>
      </c>
      <c r="B875" t="s">
        <v>203</v>
      </c>
      <c r="C875" t="s">
        <v>31</v>
      </c>
      <c r="D875" t="s">
        <v>15</v>
      </c>
      <c r="E875" t="s">
        <v>54</v>
      </c>
      <c r="F875" t="s">
        <v>17</v>
      </c>
      <c r="G875">
        <v>3</v>
      </c>
      <c r="H875">
        <v>142</v>
      </c>
      <c r="I875">
        <v>426</v>
      </c>
      <c r="J875">
        <v>340</v>
      </c>
      <c r="K875">
        <v>86</v>
      </c>
      <c r="L875" t="s">
        <v>24</v>
      </c>
      <c r="M875" t="s">
        <v>29</v>
      </c>
      <c r="N875" t="str">
        <f>IF(SalesTbl[[#This Row],[Profit]]&gt;180,"High Profit","Low Profit")</f>
        <v>Low Profit</v>
      </c>
      <c r="O875" t="str">
        <f>TEXT(SalesTbl[[#This Row],[Date]],"mmm")</f>
        <v>Jun</v>
      </c>
    </row>
    <row r="876" spans="1:15" x14ac:dyDescent="0.3">
      <c r="A876">
        <v>1875</v>
      </c>
      <c r="B876" t="s">
        <v>180</v>
      </c>
      <c r="C876" t="s">
        <v>40</v>
      </c>
      <c r="D876" t="s">
        <v>32</v>
      </c>
      <c r="E876" t="s">
        <v>22</v>
      </c>
      <c r="F876" t="s">
        <v>23</v>
      </c>
      <c r="G876">
        <v>4</v>
      </c>
      <c r="H876">
        <v>204</v>
      </c>
      <c r="I876">
        <v>816</v>
      </c>
      <c r="J876">
        <v>652</v>
      </c>
      <c r="K876">
        <v>164</v>
      </c>
      <c r="L876" t="s">
        <v>38</v>
      </c>
      <c r="M876" t="s">
        <v>29</v>
      </c>
      <c r="N876" t="str">
        <f>IF(SalesTbl[[#This Row],[Profit]]&gt;180,"High Profit","Low Profit")</f>
        <v>Low Profit</v>
      </c>
      <c r="O876" t="str">
        <f>TEXT(SalesTbl[[#This Row],[Date]],"mmm")</f>
        <v>Feb</v>
      </c>
    </row>
    <row r="877" spans="1:15" x14ac:dyDescent="0.3">
      <c r="A877">
        <v>1876</v>
      </c>
      <c r="B877" t="s">
        <v>149</v>
      </c>
      <c r="C877" t="s">
        <v>21</v>
      </c>
      <c r="D877" t="s">
        <v>32</v>
      </c>
      <c r="E877" t="s">
        <v>16</v>
      </c>
      <c r="F877" t="s">
        <v>17</v>
      </c>
      <c r="G877">
        <v>7</v>
      </c>
      <c r="H877">
        <v>290</v>
      </c>
      <c r="I877">
        <v>2030</v>
      </c>
      <c r="J877">
        <v>1481</v>
      </c>
      <c r="K877">
        <v>549</v>
      </c>
      <c r="L877" t="s">
        <v>24</v>
      </c>
      <c r="M877" t="s">
        <v>29</v>
      </c>
      <c r="N877" t="str">
        <f>IF(SalesTbl[[#This Row],[Profit]]&gt;180,"High Profit","Low Profit")</f>
        <v>High Profit</v>
      </c>
      <c r="O877" t="str">
        <f>TEXT(SalesTbl[[#This Row],[Date]],"mmm")</f>
        <v>Mar</v>
      </c>
    </row>
    <row r="878" spans="1:15" x14ac:dyDescent="0.3">
      <c r="A878">
        <v>1877</v>
      </c>
      <c r="B878" t="s">
        <v>37</v>
      </c>
      <c r="C878" t="s">
        <v>31</v>
      </c>
      <c r="D878" t="s">
        <v>15</v>
      </c>
      <c r="E878" t="s">
        <v>22</v>
      </c>
      <c r="F878" t="s">
        <v>23</v>
      </c>
      <c r="G878">
        <v>9</v>
      </c>
      <c r="H878">
        <v>543</v>
      </c>
      <c r="I878">
        <v>4887</v>
      </c>
      <c r="J878">
        <v>3616</v>
      </c>
      <c r="K878">
        <v>1271</v>
      </c>
      <c r="L878" t="s">
        <v>18</v>
      </c>
      <c r="M878" t="s">
        <v>19</v>
      </c>
      <c r="N878" t="str">
        <f>IF(SalesTbl[[#This Row],[Profit]]&gt;180,"High Profit","Low Profit")</f>
        <v>High Profit</v>
      </c>
      <c r="O878" t="str">
        <f>TEXT(SalesTbl[[#This Row],[Date]],"mmm")</f>
        <v>Jan</v>
      </c>
    </row>
    <row r="879" spans="1:15" x14ac:dyDescent="0.3">
      <c r="A879">
        <v>1878</v>
      </c>
      <c r="B879" t="s">
        <v>43</v>
      </c>
      <c r="C879" t="s">
        <v>31</v>
      </c>
      <c r="D879" t="s">
        <v>35</v>
      </c>
      <c r="E879" t="s">
        <v>41</v>
      </c>
      <c r="F879" t="s">
        <v>17</v>
      </c>
      <c r="G879">
        <v>3</v>
      </c>
      <c r="H879">
        <v>127</v>
      </c>
      <c r="I879">
        <v>381</v>
      </c>
      <c r="J879">
        <v>278</v>
      </c>
      <c r="K879">
        <v>103</v>
      </c>
      <c r="L879" t="s">
        <v>38</v>
      </c>
      <c r="M879" t="s">
        <v>19</v>
      </c>
      <c r="N879" t="str">
        <f>IF(SalesTbl[[#This Row],[Profit]]&gt;180,"High Profit","Low Profit")</f>
        <v>Low Profit</v>
      </c>
      <c r="O879" t="str">
        <f>TEXT(SalesTbl[[#This Row],[Date]],"mmm")</f>
        <v>Apr</v>
      </c>
    </row>
    <row r="880" spans="1:15" x14ac:dyDescent="0.3">
      <c r="A880">
        <v>1879</v>
      </c>
      <c r="B880" t="s">
        <v>74</v>
      </c>
      <c r="C880" t="s">
        <v>31</v>
      </c>
      <c r="D880" t="s">
        <v>26</v>
      </c>
      <c r="E880" t="s">
        <v>22</v>
      </c>
      <c r="F880" t="s">
        <v>23</v>
      </c>
      <c r="G880">
        <v>3</v>
      </c>
      <c r="H880">
        <v>951</v>
      </c>
      <c r="I880">
        <v>2853</v>
      </c>
      <c r="J880">
        <v>2168</v>
      </c>
      <c r="K880">
        <v>685</v>
      </c>
      <c r="L880" t="s">
        <v>28</v>
      </c>
      <c r="M880" t="s">
        <v>19</v>
      </c>
      <c r="N880" t="str">
        <f>IF(SalesTbl[[#This Row],[Profit]]&gt;180,"High Profit","Low Profit")</f>
        <v>High Profit</v>
      </c>
      <c r="O880" t="str">
        <f>TEXT(SalesTbl[[#This Row],[Date]],"mmm")</f>
        <v>Feb</v>
      </c>
    </row>
    <row r="881" spans="1:15" x14ac:dyDescent="0.3">
      <c r="A881">
        <v>1880</v>
      </c>
      <c r="B881" t="s">
        <v>165</v>
      </c>
      <c r="C881" t="s">
        <v>21</v>
      </c>
      <c r="D881" t="s">
        <v>26</v>
      </c>
      <c r="E881" t="s">
        <v>54</v>
      </c>
      <c r="F881" t="s">
        <v>17</v>
      </c>
      <c r="G881">
        <v>2</v>
      </c>
      <c r="H881">
        <v>928</v>
      </c>
      <c r="I881">
        <v>1856</v>
      </c>
      <c r="J881">
        <v>1169</v>
      </c>
      <c r="K881">
        <v>687</v>
      </c>
      <c r="L881" t="s">
        <v>28</v>
      </c>
      <c r="M881" t="s">
        <v>29</v>
      </c>
      <c r="N881" t="str">
        <f>IF(SalesTbl[[#This Row],[Profit]]&gt;180,"High Profit","Low Profit")</f>
        <v>High Profit</v>
      </c>
      <c r="O881" t="str">
        <f>TEXT(SalesTbl[[#This Row],[Date]],"mmm")</f>
        <v>Mar</v>
      </c>
    </row>
    <row r="882" spans="1:15" x14ac:dyDescent="0.3">
      <c r="A882">
        <v>1881</v>
      </c>
      <c r="B882" t="s">
        <v>68</v>
      </c>
      <c r="C882" t="s">
        <v>40</v>
      </c>
      <c r="D882" t="s">
        <v>32</v>
      </c>
      <c r="E882" t="s">
        <v>48</v>
      </c>
      <c r="F882" t="s">
        <v>23</v>
      </c>
      <c r="G882">
        <v>9</v>
      </c>
      <c r="H882">
        <v>250</v>
      </c>
      <c r="I882">
        <v>2250</v>
      </c>
      <c r="J882">
        <v>1350</v>
      </c>
      <c r="K882">
        <v>900</v>
      </c>
      <c r="L882" t="s">
        <v>18</v>
      </c>
      <c r="M882" t="s">
        <v>29</v>
      </c>
      <c r="N882" t="str">
        <f>IF(SalesTbl[[#This Row],[Profit]]&gt;180,"High Profit","Low Profit")</f>
        <v>High Profit</v>
      </c>
      <c r="O882" t="str">
        <f>TEXT(SalesTbl[[#This Row],[Date]],"mmm")</f>
        <v>Apr</v>
      </c>
    </row>
    <row r="883" spans="1:15" x14ac:dyDescent="0.3">
      <c r="A883">
        <v>1882</v>
      </c>
      <c r="B883" t="s">
        <v>37</v>
      </c>
      <c r="C883" t="s">
        <v>14</v>
      </c>
      <c r="D883" t="s">
        <v>32</v>
      </c>
      <c r="E883" t="s">
        <v>48</v>
      </c>
      <c r="F883" t="s">
        <v>23</v>
      </c>
      <c r="G883">
        <v>8</v>
      </c>
      <c r="H883">
        <v>178</v>
      </c>
      <c r="I883">
        <v>1424</v>
      </c>
      <c r="J883">
        <v>1096</v>
      </c>
      <c r="K883">
        <v>328</v>
      </c>
      <c r="L883" t="s">
        <v>24</v>
      </c>
      <c r="M883" t="s">
        <v>19</v>
      </c>
      <c r="N883" t="str">
        <f>IF(SalesTbl[[#This Row],[Profit]]&gt;180,"High Profit","Low Profit")</f>
        <v>High Profit</v>
      </c>
      <c r="O883" t="str">
        <f>TEXT(SalesTbl[[#This Row],[Date]],"mmm")</f>
        <v>Jan</v>
      </c>
    </row>
    <row r="884" spans="1:15" x14ac:dyDescent="0.3">
      <c r="A884">
        <v>1883</v>
      </c>
      <c r="B884" t="s">
        <v>158</v>
      </c>
      <c r="C884" t="s">
        <v>14</v>
      </c>
      <c r="D884" t="s">
        <v>15</v>
      </c>
      <c r="E884" t="s">
        <v>22</v>
      </c>
      <c r="F884" t="s">
        <v>23</v>
      </c>
      <c r="G884">
        <v>1</v>
      </c>
      <c r="H884">
        <v>272</v>
      </c>
      <c r="I884">
        <v>272</v>
      </c>
      <c r="J884">
        <v>174</v>
      </c>
      <c r="K884">
        <v>98</v>
      </c>
      <c r="L884" t="s">
        <v>18</v>
      </c>
      <c r="M884" t="s">
        <v>29</v>
      </c>
      <c r="N884" t="str">
        <f>IF(SalesTbl[[#This Row],[Profit]]&gt;180,"High Profit","Low Profit")</f>
        <v>Low Profit</v>
      </c>
      <c r="O884" t="str">
        <f>TEXT(SalesTbl[[#This Row],[Date]],"mmm")</f>
        <v>Feb</v>
      </c>
    </row>
    <row r="885" spans="1:15" x14ac:dyDescent="0.3">
      <c r="A885">
        <v>1884</v>
      </c>
      <c r="B885" t="s">
        <v>59</v>
      </c>
      <c r="C885" t="s">
        <v>40</v>
      </c>
      <c r="D885" t="s">
        <v>15</v>
      </c>
      <c r="E885" t="s">
        <v>22</v>
      </c>
      <c r="F885" t="s">
        <v>23</v>
      </c>
      <c r="G885">
        <v>4</v>
      </c>
      <c r="H885">
        <v>902</v>
      </c>
      <c r="I885">
        <v>3608</v>
      </c>
      <c r="J885">
        <v>2345</v>
      </c>
      <c r="K885">
        <v>1263</v>
      </c>
      <c r="L885" t="s">
        <v>33</v>
      </c>
      <c r="M885" t="s">
        <v>19</v>
      </c>
      <c r="N885" t="str">
        <f>IF(SalesTbl[[#This Row],[Profit]]&gt;180,"High Profit","Low Profit")</f>
        <v>High Profit</v>
      </c>
      <c r="O885" t="str">
        <f>TEXT(SalesTbl[[#This Row],[Date]],"mmm")</f>
        <v>Jun</v>
      </c>
    </row>
    <row r="886" spans="1:15" x14ac:dyDescent="0.3">
      <c r="A886">
        <v>1885</v>
      </c>
      <c r="B886" t="s">
        <v>149</v>
      </c>
      <c r="C886" t="s">
        <v>21</v>
      </c>
      <c r="D886" t="s">
        <v>32</v>
      </c>
      <c r="E886" t="s">
        <v>54</v>
      </c>
      <c r="F886" t="s">
        <v>17</v>
      </c>
      <c r="G886">
        <v>5</v>
      </c>
      <c r="H886">
        <v>347</v>
      </c>
      <c r="I886">
        <v>1735</v>
      </c>
      <c r="J886">
        <v>1388</v>
      </c>
      <c r="K886">
        <v>347</v>
      </c>
      <c r="L886" t="s">
        <v>38</v>
      </c>
      <c r="M886" t="s">
        <v>29</v>
      </c>
      <c r="N886" t="str">
        <f>IF(SalesTbl[[#This Row],[Profit]]&gt;180,"High Profit","Low Profit")</f>
        <v>High Profit</v>
      </c>
      <c r="O886" t="str">
        <f>TEXT(SalesTbl[[#This Row],[Date]],"mmm")</f>
        <v>Mar</v>
      </c>
    </row>
    <row r="887" spans="1:15" x14ac:dyDescent="0.3">
      <c r="A887">
        <v>1886</v>
      </c>
      <c r="B887" t="s">
        <v>212</v>
      </c>
      <c r="C887" t="s">
        <v>21</v>
      </c>
      <c r="D887" t="s">
        <v>32</v>
      </c>
      <c r="E887" t="s">
        <v>22</v>
      </c>
      <c r="F887" t="s">
        <v>23</v>
      </c>
      <c r="G887">
        <v>2</v>
      </c>
      <c r="H887">
        <v>251</v>
      </c>
      <c r="I887">
        <v>502</v>
      </c>
      <c r="J887">
        <v>346</v>
      </c>
      <c r="K887">
        <v>156</v>
      </c>
      <c r="L887" t="s">
        <v>33</v>
      </c>
      <c r="M887" t="s">
        <v>29</v>
      </c>
      <c r="N887" t="str">
        <f>IF(SalesTbl[[#This Row],[Profit]]&gt;180,"High Profit","Low Profit")</f>
        <v>Low Profit</v>
      </c>
      <c r="O887" t="str">
        <f>TEXT(SalesTbl[[#This Row],[Date]],"mmm")</f>
        <v>Mar</v>
      </c>
    </row>
    <row r="888" spans="1:15" x14ac:dyDescent="0.3">
      <c r="A888">
        <v>1503</v>
      </c>
      <c r="B888" t="s">
        <v>57</v>
      </c>
      <c r="C888" t="s">
        <v>40</v>
      </c>
      <c r="D888" t="s">
        <v>15</v>
      </c>
      <c r="E888" t="s">
        <v>54</v>
      </c>
      <c r="F888" t="s">
        <v>17</v>
      </c>
      <c r="G888">
        <v>9</v>
      </c>
      <c r="H888">
        <v>64</v>
      </c>
      <c r="I888">
        <v>576</v>
      </c>
      <c r="J888">
        <v>420</v>
      </c>
      <c r="K888">
        <v>156</v>
      </c>
      <c r="L888" t="s">
        <v>38</v>
      </c>
      <c r="M888" t="s">
        <v>19</v>
      </c>
      <c r="N888" t="str">
        <f>IF(SalesTbl[[#This Row],[Profit]]&gt;180,"High Profit","Low Profit")</f>
        <v>Low Profit</v>
      </c>
      <c r="O888" t="str">
        <f>TEXT(SalesTbl[[#This Row],[Date]],"mmm")</f>
        <v>Apr</v>
      </c>
    </row>
    <row r="889" spans="1:15" x14ac:dyDescent="0.3">
      <c r="A889">
        <v>1888</v>
      </c>
      <c r="B889" t="s">
        <v>94</v>
      </c>
      <c r="C889" t="s">
        <v>14</v>
      </c>
      <c r="D889" t="s">
        <v>32</v>
      </c>
      <c r="E889" t="s">
        <v>54</v>
      </c>
      <c r="F889" t="s">
        <v>17</v>
      </c>
      <c r="G889">
        <v>8</v>
      </c>
      <c r="H889">
        <v>604</v>
      </c>
      <c r="I889">
        <v>4832</v>
      </c>
      <c r="J889">
        <v>3817</v>
      </c>
      <c r="K889">
        <v>1015</v>
      </c>
      <c r="L889" t="s">
        <v>38</v>
      </c>
      <c r="M889" t="s">
        <v>19</v>
      </c>
      <c r="N889" t="str">
        <f>IF(SalesTbl[[#This Row],[Profit]]&gt;180,"High Profit","Low Profit")</f>
        <v>High Profit</v>
      </c>
      <c r="O889" t="str">
        <f>TEXT(SalesTbl[[#This Row],[Date]],"mmm")</f>
        <v>Mar</v>
      </c>
    </row>
    <row r="890" spans="1:15" x14ac:dyDescent="0.3">
      <c r="A890">
        <v>1889</v>
      </c>
      <c r="B890" t="s">
        <v>101</v>
      </c>
      <c r="C890" t="s">
        <v>21</v>
      </c>
      <c r="D890" t="s">
        <v>26</v>
      </c>
      <c r="E890" t="s">
        <v>48</v>
      </c>
      <c r="F890" t="s">
        <v>23</v>
      </c>
      <c r="G890">
        <v>3</v>
      </c>
      <c r="H890">
        <v>887</v>
      </c>
      <c r="I890">
        <v>2661</v>
      </c>
      <c r="J890">
        <v>1969</v>
      </c>
      <c r="K890">
        <v>692</v>
      </c>
      <c r="L890" t="s">
        <v>33</v>
      </c>
      <c r="M890" t="s">
        <v>19</v>
      </c>
      <c r="N890" t="str">
        <f>IF(SalesTbl[[#This Row],[Profit]]&gt;180,"High Profit","Low Profit")</f>
        <v>High Profit</v>
      </c>
      <c r="O890" t="str">
        <f>TEXT(SalesTbl[[#This Row],[Date]],"mmm")</f>
        <v>Feb</v>
      </c>
    </row>
    <row r="891" spans="1:15" x14ac:dyDescent="0.3">
      <c r="A891">
        <v>1890</v>
      </c>
      <c r="B891" t="s">
        <v>80</v>
      </c>
      <c r="C891" t="s">
        <v>14</v>
      </c>
      <c r="D891" t="s">
        <v>26</v>
      </c>
      <c r="E891" t="s">
        <v>27</v>
      </c>
      <c r="F891" t="s">
        <v>17</v>
      </c>
      <c r="G891">
        <v>5</v>
      </c>
      <c r="H891">
        <v>233</v>
      </c>
      <c r="I891">
        <v>1165</v>
      </c>
      <c r="J891">
        <v>745</v>
      </c>
      <c r="K891">
        <v>420</v>
      </c>
      <c r="L891" t="s">
        <v>18</v>
      </c>
      <c r="M891" t="s">
        <v>29</v>
      </c>
      <c r="N891" t="str">
        <f>IF(SalesTbl[[#This Row],[Profit]]&gt;180,"High Profit","Low Profit")</f>
        <v>High Profit</v>
      </c>
      <c r="O891" t="str">
        <f>TEXT(SalesTbl[[#This Row],[Date]],"mmm")</f>
        <v>Apr</v>
      </c>
    </row>
    <row r="892" spans="1:15" x14ac:dyDescent="0.3">
      <c r="A892">
        <v>1891</v>
      </c>
      <c r="B892" t="s">
        <v>86</v>
      </c>
      <c r="C892" t="s">
        <v>21</v>
      </c>
      <c r="D892" t="s">
        <v>35</v>
      </c>
      <c r="E892" t="s">
        <v>16</v>
      </c>
      <c r="F892" t="s">
        <v>17</v>
      </c>
      <c r="G892">
        <v>5</v>
      </c>
      <c r="H892">
        <v>723</v>
      </c>
      <c r="I892">
        <v>3615</v>
      </c>
      <c r="J892">
        <v>2638</v>
      </c>
      <c r="K892">
        <v>977</v>
      </c>
      <c r="L892" t="s">
        <v>38</v>
      </c>
      <c r="M892" t="s">
        <v>29</v>
      </c>
      <c r="N892" t="str">
        <f>IF(SalesTbl[[#This Row],[Profit]]&gt;180,"High Profit","Low Profit")</f>
        <v>High Profit</v>
      </c>
      <c r="O892" t="str">
        <f>TEXT(SalesTbl[[#This Row],[Date]],"mmm")</f>
        <v>Apr</v>
      </c>
    </row>
    <row r="893" spans="1:15" x14ac:dyDescent="0.3">
      <c r="A893">
        <v>1892</v>
      </c>
      <c r="B893" t="s">
        <v>177</v>
      </c>
      <c r="C893" t="s">
        <v>14</v>
      </c>
      <c r="D893" t="s">
        <v>32</v>
      </c>
      <c r="E893" t="s">
        <v>48</v>
      </c>
      <c r="F893" t="s">
        <v>23</v>
      </c>
      <c r="G893">
        <v>3</v>
      </c>
      <c r="H893">
        <v>853</v>
      </c>
      <c r="I893">
        <v>2559</v>
      </c>
      <c r="J893">
        <v>1714</v>
      </c>
      <c r="K893">
        <v>845</v>
      </c>
      <c r="L893" t="s">
        <v>38</v>
      </c>
      <c r="M893" t="s">
        <v>29</v>
      </c>
      <c r="N893" t="str">
        <f>IF(SalesTbl[[#This Row],[Profit]]&gt;180,"High Profit","Low Profit")</f>
        <v>High Profit</v>
      </c>
      <c r="O893" t="str">
        <f>TEXT(SalesTbl[[#This Row],[Date]],"mmm")</f>
        <v>Feb</v>
      </c>
    </row>
    <row r="894" spans="1:15" x14ac:dyDescent="0.3">
      <c r="A894">
        <v>1893</v>
      </c>
      <c r="B894" t="s">
        <v>128</v>
      </c>
      <c r="C894" t="s">
        <v>31</v>
      </c>
      <c r="D894" t="s">
        <v>35</v>
      </c>
      <c r="E894" t="s">
        <v>22</v>
      </c>
      <c r="F894" t="s">
        <v>23</v>
      </c>
      <c r="G894">
        <v>6</v>
      </c>
      <c r="H894">
        <v>104</v>
      </c>
      <c r="I894">
        <v>624</v>
      </c>
      <c r="J894">
        <v>480</v>
      </c>
      <c r="K894">
        <v>144</v>
      </c>
      <c r="L894" t="s">
        <v>24</v>
      </c>
      <c r="M894" t="s">
        <v>29</v>
      </c>
      <c r="N894" t="str">
        <f>IF(SalesTbl[[#This Row],[Profit]]&gt;180,"High Profit","Low Profit")</f>
        <v>Low Profit</v>
      </c>
      <c r="O894" t="str">
        <f>TEXT(SalesTbl[[#This Row],[Date]],"mmm")</f>
        <v>Jan</v>
      </c>
    </row>
    <row r="895" spans="1:15" x14ac:dyDescent="0.3">
      <c r="A895">
        <v>1894</v>
      </c>
      <c r="B895" t="s">
        <v>87</v>
      </c>
      <c r="C895" t="s">
        <v>31</v>
      </c>
      <c r="D895" t="s">
        <v>15</v>
      </c>
      <c r="E895" t="s">
        <v>22</v>
      </c>
      <c r="F895" t="s">
        <v>23</v>
      </c>
      <c r="G895">
        <v>8</v>
      </c>
      <c r="H895">
        <v>678</v>
      </c>
      <c r="I895">
        <v>5424</v>
      </c>
      <c r="J895">
        <v>4013</v>
      </c>
      <c r="K895">
        <v>1411</v>
      </c>
      <c r="L895" t="s">
        <v>24</v>
      </c>
      <c r="M895" t="s">
        <v>29</v>
      </c>
      <c r="N895" t="str">
        <f>IF(SalesTbl[[#This Row],[Profit]]&gt;180,"High Profit","Low Profit")</f>
        <v>High Profit</v>
      </c>
      <c r="O895" t="str">
        <f>TEXT(SalesTbl[[#This Row],[Date]],"mmm")</f>
        <v>Feb</v>
      </c>
    </row>
    <row r="896" spans="1:15" x14ac:dyDescent="0.3">
      <c r="A896">
        <v>1895</v>
      </c>
      <c r="B896" t="s">
        <v>183</v>
      </c>
      <c r="C896" t="s">
        <v>21</v>
      </c>
      <c r="D896" t="s">
        <v>15</v>
      </c>
      <c r="E896" t="s">
        <v>54</v>
      </c>
      <c r="F896" t="s">
        <v>17</v>
      </c>
      <c r="G896">
        <v>3</v>
      </c>
      <c r="H896">
        <v>218</v>
      </c>
      <c r="I896">
        <v>654</v>
      </c>
      <c r="J896">
        <v>392</v>
      </c>
      <c r="K896">
        <v>262</v>
      </c>
      <c r="L896" t="s">
        <v>33</v>
      </c>
      <c r="M896" t="s">
        <v>29</v>
      </c>
      <c r="N896" t="str">
        <f>IF(SalesTbl[[#This Row],[Profit]]&gt;180,"High Profit","Low Profit")</f>
        <v>High Profit</v>
      </c>
      <c r="O896" t="str">
        <f>TEXT(SalesTbl[[#This Row],[Date]],"mmm")</f>
        <v>Apr</v>
      </c>
    </row>
    <row r="897" spans="1:15" x14ac:dyDescent="0.3">
      <c r="A897">
        <v>1505</v>
      </c>
      <c r="B897" t="s">
        <v>65</v>
      </c>
      <c r="C897" t="s">
        <v>40</v>
      </c>
      <c r="D897" t="s">
        <v>15</v>
      </c>
      <c r="E897" t="s">
        <v>54</v>
      </c>
      <c r="F897" t="s">
        <v>17</v>
      </c>
      <c r="G897">
        <v>2</v>
      </c>
      <c r="H897">
        <v>276</v>
      </c>
      <c r="I897">
        <v>552</v>
      </c>
      <c r="J897">
        <v>397</v>
      </c>
      <c r="K897">
        <v>155</v>
      </c>
      <c r="L897" t="s">
        <v>33</v>
      </c>
      <c r="M897" t="s">
        <v>19</v>
      </c>
      <c r="N897" t="str">
        <f>IF(SalesTbl[[#This Row],[Profit]]&gt;180,"High Profit","Low Profit")</f>
        <v>Low Profit</v>
      </c>
      <c r="O897" t="str">
        <f>TEXT(SalesTbl[[#This Row],[Date]],"mmm")</f>
        <v>May</v>
      </c>
    </row>
    <row r="898" spans="1:15" x14ac:dyDescent="0.3">
      <c r="A898">
        <v>1897</v>
      </c>
      <c r="B898" t="s">
        <v>125</v>
      </c>
      <c r="C898" t="s">
        <v>14</v>
      </c>
      <c r="D898" t="s">
        <v>26</v>
      </c>
      <c r="E898" t="s">
        <v>22</v>
      </c>
      <c r="F898" t="s">
        <v>23</v>
      </c>
      <c r="G898">
        <v>3</v>
      </c>
      <c r="H898">
        <v>534</v>
      </c>
      <c r="I898">
        <v>1602</v>
      </c>
      <c r="J898">
        <v>961</v>
      </c>
      <c r="K898">
        <v>641</v>
      </c>
      <c r="L898" t="s">
        <v>38</v>
      </c>
      <c r="M898" t="s">
        <v>29</v>
      </c>
      <c r="N898" t="str">
        <f>IF(SalesTbl[[#This Row],[Profit]]&gt;180,"High Profit","Low Profit")</f>
        <v>High Profit</v>
      </c>
      <c r="O898" t="str">
        <f>TEXT(SalesTbl[[#This Row],[Date]],"mmm")</f>
        <v>Jun</v>
      </c>
    </row>
    <row r="899" spans="1:15" x14ac:dyDescent="0.3">
      <c r="A899">
        <v>1898</v>
      </c>
      <c r="B899" t="s">
        <v>152</v>
      </c>
      <c r="C899" t="s">
        <v>31</v>
      </c>
      <c r="D899" t="s">
        <v>35</v>
      </c>
      <c r="E899" t="s">
        <v>16</v>
      </c>
      <c r="F899" t="s">
        <v>17</v>
      </c>
      <c r="G899">
        <v>4</v>
      </c>
      <c r="H899">
        <v>534</v>
      </c>
      <c r="I899">
        <v>2136</v>
      </c>
      <c r="J899">
        <v>1431</v>
      </c>
      <c r="K899">
        <v>705</v>
      </c>
      <c r="L899" t="s">
        <v>24</v>
      </c>
      <c r="M899" t="s">
        <v>29</v>
      </c>
      <c r="N899" t="str">
        <f>IF(SalesTbl[[#This Row],[Profit]]&gt;180,"High Profit","Low Profit")</f>
        <v>High Profit</v>
      </c>
      <c r="O899" t="str">
        <f>TEXT(SalesTbl[[#This Row],[Date]],"mmm")</f>
        <v>Apr</v>
      </c>
    </row>
    <row r="900" spans="1:15" x14ac:dyDescent="0.3">
      <c r="A900">
        <v>1899</v>
      </c>
      <c r="B900" t="s">
        <v>129</v>
      </c>
      <c r="C900" t="s">
        <v>14</v>
      </c>
      <c r="D900" t="s">
        <v>15</v>
      </c>
      <c r="E900" t="s">
        <v>16</v>
      </c>
      <c r="F900" t="s">
        <v>17</v>
      </c>
      <c r="G900">
        <v>2</v>
      </c>
      <c r="H900">
        <v>535</v>
      </c>
      <c r="I900">
        <v>1070</v>
      </c>
      <c r="J900">
        <v>845</v>
      </c>
      <c r="K900">
        <v>225</v>
      </c>
      <c r="L900" t="s">
        <v>38</v>
      </c>
      <c r="M900" t="s">
        <v>29</v>
      </c>
      <c r="N900" t="str">
        <f>IF(SalesTbl[[#This Row],[Profit]]&gt;180,"High Profit","Low Profit")</f>
        <v>High Profit</v>
      </c>
      <c r="O900" t="str">
        <f>TEXT(SalesTbl[[#This Row],[Date]],"mmm")</f>
        <v>Mar</v>
      </c>
    </row>
    <row r="901" spans="1:15" x14ac:dyDescent="0.3">
      <c r="A901">
        <v>1900</v>
      </c>
      <c r="B901" t="s">
        <v>30</v>
      </c>
      <c r="C901" t="s">
        <v>31</v>
      </c>
      <c r="D901" t="s">
        <v>15</v>
      </c>
      <c r="E901" t="s">
        <v>54</v>
      </c>
      <c r="F901" t="s">
        <v>17</v>
      </c>
      <c r="G901">
        <v>6</v>
      </c>
      <c r="H901">
        <v>426</v>
      </c>
      <c r="I901">
        <v>2556</v>
      </c>
      <c r="J901">
        <v>1968</v>
      </c>
      <c r="K901">
        <v>588</v>
      </c>
      <c r="L901" t="s">
        <v>33</v>
      </c>
      <c r="M901" t="s">
        <v>19</v>
      </c>
      <c r="N901" t="str">
        <f>IF(SalesTbl[[#This Row],[Profit]]&gt;180,"High Profit","Low Profit")</f>
        <v>High Profit</v>
      </c>
      <c r="O901" t="str">
        <f>TEXT(SalesTbl[[#This Row],[Date]],"mmm")</f>
        <v>Feb</v>
      </c>
    </row>
    <row r="902" spans="1:15" x14ac:dyDescent="0.3">
      <c r="A902">
        <v>1901</v>
      </c>
      <c r="B902" t="s">
        <v>79</v>
      </c>
      <c r="C902" t="s">
        <v>21</v>
      </c>
      <c r="D902" t="s">
        <v>35</v>
      </c>
      <c r="E902" t="s">
        <v>22</v>
      </c>
      <c r="F902" t="s">
        <v>23</v>
      </c>
      <c r="G902">
        <v>4</v>
      </c>
      <c r="H902">
        <v>301</v>
      </c>
      <c r="I902">
        <v>1204</v>
      </c>
      <c r="J902">
        <v>806</v>
      </c>
      <c r="K902">
        <v>398</v>
      </c>
      <c r="L902" t="s">
        <v>24</v>
      </c>
      <c r="M902" t="s">
        <v>19</v>
      </c>
      <c r="N902" t="str">
        <f>IF(SalesTbl[[#This Row],[Profit]]&gt;180,"High Profit","Low Profit")</f>
        <v>High Profit</v>
      </c>
      <c r="O902" t="str">
        <f>TEXT(SalesTbl[[#This Row],[Date]],"mmm")</f>
        <v>May</v>
      </c>
    </row>
    <row r="903" spans="1:15" x14ac:dyDescent="0.3">
      <c r="A903">
        <v>1902</v>
      </c>
      <c r="B903" t="s">
        <v>158</v>
      </c>
      <c r="C903" t="s">
        <v>14</v>
      </c>
      <c r="D903" t="s">
        <v>32</v>
      </c>
      <c r="E903" t="s">
        <v>41</v>
      </c>
      <c r="F903" t="s">
        <v>17</v>
      </c>
      <c r="G903">
        <v>8</v>
      </c>
      <c r="H903">
        <v>652</v>
      </c>
      <c r="I903">
        <v>5216</v>
      </c>
      <c r="J903">
        <v>3442</v>
      </c>
      <c r="K903">
        <v>1774</v>
      </c>
      <c r="L903" t="s">
        <v>28</v>
      </c>
      <c r="M903" t="s">
        <v>19</v>
      </c>
      <c r="N903" t="str">
        <f>IF(SalesTbl[[#This Row],[Profit]]&gt;180,"High Profit","Low Profit")</f>
        <v>High Profit</v>
      </c>
      <c r="O903" t="str">
        <f>TEXT(SalesTbl[[#This Row],[Date]],"mmm")</f>
        <v>Feb</v>
      </c>
    </row>
    <row r="904" spans="1:15" x14ac:dyDescent="0.3">
      <c r="A904">
        <v>1903</v>
      </c>
      <c r="B904" t="s">
        <v>159</v>
      </c>
      <c r="C904" t="s">
        <v>31</v>
      </c>
      <c r="D904" t="s">
        <v>32</v>
      </c>
      <c r="E904" t="s">
        <v>16</v>
      </c>
      <c r="F904" t="s">
        <v>17</v>
      </c>
      <c r="G904">
        <v>6</v>
      </c>
      <c r="H904">
        <v>971</v>
      </c>
      <c r="I904">
        <v>5826</v>
      </c>
      <c r="J904">
        <v>4486</v>
      </c>
      <c r="K904">
        <v>1340</v>
      </c>
      <c r="L904" t="s">
        <v>28</v>
      </c>
      <c r="M904" t="s">
        <v>29</v>
      </c>
      <c r="N904" t="str">
        <f>IF(SalesTbl[[#This Row],[Profit]]&gt;180,"High Profit","Low Profit")</f>
        <v>High Profit</v>
      </c>
      <c r="O904" t="str">
        <f>TEXT(SalesTbl[[#This Row],[Date]],"mmm")</f>
        <v>Apr</v>
      </c>
    </row>
    <row r="905" spans="1:15" x14ac:dyDescent="0.3">
      <c r="A905">
        <v>1904</v>
      </c>
      <c r="B905" t="s">
        <v>141</v>
      </c>
      <c r="C905" t="s">
        <v>21</v>
      </c>
      <c r="D905" t="s">
        <v>35</v>
      </c>
      <c r="E905" t="s">
        <v>27</v>
      </c>
      <c r="F905" t="s">
        <v>17</v>
      </c>
      <c r="G905">
        <v>5</v>
      </c>
      <c r="H905">
        <v>171</v>
      </c>
      <c r="I905">
        <v>855</v>
      </c>
      <c r="J905">
        <v>607</v>
      </c>
      <c r="K905">
        <v>248</v>
      </c>
      <c r="L905" t="s">
        <v>28</v>
      </c>
      <c r="M905" t="s">
        <v>19</v>
      </c>
      <c r="N905" t="str">
        <f>IF(SalesTbl[[#This Row],[Profit]]&gt;180,"High Profit","Low Profit")</f>
        <v>High Profit</v>
      </c>
      <c r="O905" t="str">
        <f>TEXT(SalesTbl[[#This Row],[Date]],"mmm")</f>
        <v>Jan</v>
      </c>
    </row>
    <row r="906" spans="1:15" x14ac:dyDescent="0.3">
      <c r="A906">
        <v>1905</v>
      </c>
      <c r="B906" t="s">
        <v>174</v>
      </c>
      <c r="C906" t="s">
        <v>21</v>
      </c>
      <c r="D906" t="s">
        <v>15</v>
      </c>
      <c r="E906" t="s">
        <v>41</v>
      </c>
      <c r="F906" t="s">
        <v>17</v>
      </c>
      <c r="G906">
        <v>1</v>
      </c>
      <c r="H906">
        <v>102</v>
      </c>
      <c r="I906">
        <v>102</v>
      </c>
      <c r="J906">
        <v>81</v>
      </c>
      <c r="K906">
        <v>21</v>
      </c>
      <c r="L906" t="s">
        <v>33</v>
      </c>
      <c r="M906" t="s">
        <v>29</v>
      </c>
      <c r="N906" t="str">
        <f>IF(SalesTbl[[#This Row],[Profit]]&gt;180,"High Profit","Low Profit")</f>
        <v>Low Profit</v>
      </c>
      <c r="O906" t="str">
        <f>TEXT(SalesTbl[[#This Row],[Date]],"mmm")</f>
        <v>Mar</v>
      </c>
    </row>
    <row r="907" spans="1:15" x14ac:dyDescent="0.3">
      <c r="A907">
        <v>1810</v>
      </c>
      <c r="B907" t="s">
        <v>202</v>
      </c>
      <c r="C907" t="s">
        <v>40</v>
      </c>
      <c r="D907" t="s">
        <v>26</v>
      </c>
      <c r="E907" t="s">
        <v>54</v>
      </c>
      <c r="F907" t="s">
        <v>17</v>
      </c>
      <c r="G907">
        <v>1</v>
      </c>
      <c r="H907">
        <v>655</v>
      </c>
      <c r="I907">
        <v>655</v>
      </c>
      <c r="J907">
        <v>510</v>
      </c>
      <c r="K907">
        <v>145</v>
      </c>
      <c r="L907" t="s">
        <v>18</v>
      </c>
      <c r="M907" t="s">
        <v>19</v>
      </c>
      <c r="N907" t="str">
        <f>IF(SalesTbl[[#This Row],[Profit]]&gt;180,"High Profit","Low Profit")</f>
        <v>Low Profit</v>
      </c>
      <c r="O907" t="str">
        <f>TEXT(SalesTbl[[#This Row],[Date]],"mmm")</f>
        <v>Feb</v>
      </c>
    </row>
    <row r="908" spans="1:15" x14ac:dyDescent="0.3">
      <c r="A908">
        <v>1907</v>
      </c>
      <c r="B908" t="s">
        <v>175</v>
      </c>
      <c r="C908" t="s">
        <v>31</v>
      </c>
      <c r="D908" t="s">
        <v>15</v>
      </c>
      <c r="E908" t="s">
        <v>48</v>
      </c>
      <c r="F908" t="s">
        <v>23</v>
      </c>
      <c r="G908">
        <v>7</v>
      </c>
      <c r="H908">
        <v>72</v>
      </c>
      <c r="I908">
        <v>504</v>
      </c>
      <c r="J908">
        <v>388</v>
      </c>
      <c r="K908">
        <v>116</v>
      </c>
      <c r="L908" t="s">
        <v>38</v>
      </c>
      <c r="M908" t="s">
        <v>29</v>
      </c>
      <c r="N908" t="str">
        <f>IF(SalesTbl[[#This Row],[Profit]]&gt;180,"High Profit","Low Profit")</f>
        <v>Low Profit</v>
      </c>
      <c r="O908" t="str">
        <f>TEXT(SalesTbl[[#This Row],[Date]],"mmm")</f>
        <v>May</v>
      </c>
    </row>
    <row r="909" spans="1:15" x14ac:dyDescent="0.3">
      <c r="A909">
        <v>1908</v>
      </c>
      <c r="B909" t="s">
        <v>163</v>
      </c>
      <c r="C909" t="s">
        <v>21</v>
      </c>
      <c r="D909" t="s">
        <v>26</v>
      </c>
      <c r="E909" t="s">
        <v>16</v>
      </c>
      <c r="F909" t="s">
        <v>17</v>
      </c>
      <c r="G909">
        <v>9</v>
      </c>
      <c r="H909">
        <v>523</v>
      </c>
      <c r="I909">
        <v>4707</v>
      </c>
      <c r="J909">
        <v>2871</v>
      </c>
      <c r="K909">
        <v>1836</v>
      </c>
      <c r="L909" t="s">
        <v>28</v>
      </c>
      <c r="M909" t="s">
        <v>19</v>
      </c>
      <c r="N909" t="str">
        <f>IF(SalesTbl[[#This Row],[Profit]]&gt;180,"High Profit","Low Profit")</f>
        <v>High Profit</v>
      </c>
      <c r="O909" t="str">
        <f>TEXT(SalesTbl[[#This Row],[Date]],"mmm")</f>
        <v>Feb</v>
      </c>
    </row>
    <row r="910" spans="1:15" x14ac:dyDescent="0.3">
      <c r="A910">
        <v>1909</v>
      </c>
      <c r="B910" t="s">
        <v>162</v>
      </c>
      <c r="C910" t="s">
        <v>21</v>
      </c>
      <c r="D910" t="s">
        <v>15</v>
      </c>
      <c r="E910" t="s">
        <v>22</v>
      </c>
      <c r="F910" t="s">
        <v>23</v>
      </c>
      <c r="G910">
        <v>2</v>
      </c>
      <c r="H910">
        <v>145</v>
      </c>
      <c r="I910">
        <v>290</v>
      </c>
      <c r="J910">
        <v>174</v>
      </c>
      <c r="K910">
        <v>116</v>
      </c>
      <c r="L910" t="s">
        <v>18</v>
      </c>
      <c r="M910" t="s">
        <v>29</v>
      </c>
      <c r="N910" t="str">
        <f>IF(SalesTbl[[#This Row],[Profit]]&gt;180,"High Profit","Low Profit")</f>
        <v>Low Profit</v>
      </c>
      <c r="O910" t="str">
        <f>TEXT(SalesTbl[[#This Row],[Date]],"mmm")</f>
        <v>Apr</v>
      </c>
    </row>
    <row r="911" spans="1:15" x14ac:dyDescent="0.3">
      <c r="A911">
        <v>1910</v>
      </c>
      <c r="B911" t="s">
        <v>195</v>
      </c>
      <c r="C911" t="s">
        <v>21</v>
      </c>
      <c r="D911" t="s">
        <v>15</v>
      </c>
      <c r="E911" t="s">
        <v>48</v>
      </c>
      <c r="F911" t="s">
        <v>23</v>
      </c>
      <c r="G911">
        <v>5</v>
      </c>
      <c r="H911">
        <v>973</v>
      </c>
      <c r="I911">
        <v>4865</v>
      </c>
      <c r="J911">
        <v>3113</v>
      </c>
      <c r="K911">
        <v>1752</v>
      </c>
      <c r="L911" t="s">
        <v>33</v>
      </c>
      <c r="M911" t="s">
        <v>29</v>
      </c>
      <c r="N911" t="str">
        <f>IF(SalesTbl[[#This Row],[Profit]]&gt;180,"High Profit","Low Profit")</f>
        <v>High Profit</v>
      </c>
      <c r="O911" t="str">
        <f>TEXT(SalesTbl[[#This Row],[Date]],"mmm")</f>
        <v>Feb</v>
      </c>
    </row>
    <row r="912" spans="1:15" x14ac:dyDescent="0.3">
      <c r="A912">
        <v>1911</v>
      </c>
      <c r="B912" t="s">
        <v>52</v>
      </c>
      <c r="C912" t="s">
        <v>14</v>
      </c>
      <c r="D912" t="s">
        <v>26</v>
      </c>
      <c r="E912" t="s">
        <v>27</v>
      </c>
      <c r="F912" t="s">
        <v>17</v>
      </c>
      <c r="G912">
        <v>7</v>
      </c>
      <c r="H912">
        <v>744</v>
      </c>
      <c r="I912">
        <v>5208</v>
      </c>
      <c r="J912">
        <v>3958</v>
      </c>
      <c r="K912">
        <v>1250</v>
      </c>
      <c r="L912" t="s">
        <v>38</v>
      </c>
      <c r="M912" t="s">
        <v>19</v>
      </c>
      <c r="N912" t="str">
        <f>IF(SalesTbl[[#This Row],[Profit]]&gt;180,"High Profit","Low Profit")</f>
        <v>High Profit</v>
      </c>
      <c r="O912" t="str">
        <f>TEXT(SalesTbl[[#This Row],[Date]],"mmm")</f>
        <v>Mar</v>
      </c>
    </row>
    <row r="913" spans="1:15" x14ac:dyDescent="0.3">
      <c r="A913">
        <v>1735</v>
      </c>
      <c r="B913" t="s">
        <v>156</v>
      </c>
      <c r="C913" t="s">
        <v>40</v>
      </c>
      <c r="D913" t="s">
        <v>26</v>
      </c>
      <c r="E913" t="s">
        <v>41</v>
      </c>
      <c r="F913" t="s">
        <v>17</v>
      </c>
      <c r="G913">
        <v>1</v>
      </c>
      <c r="H913">
        <v>564</v>
      </c>
      <c r="I913">
        <v>564</v>
      </c>
      <c r="J913">
        <v>434</v>
      </c>
      <c r="K913">
        <v>130</v>
      </c>
      <c r="L913" t="s">
        <v>28</v>
      </c>
      <c r="M913" t="s">
        <v>29</v>
      </c>
      <c r="N913" t="str">
        <f>IF(SalesTbl[[#This Row],[Profit]]&gt;180,"High Profit","Low Profit")</f>
        <v>Low Profit</v>
      </c>
      <c r="O913" t="str">
        <f>TEXT(SalesTbl[[#This Row],[Date]],"mmm")</f>
        <v>Feb</v>
      </c>
    </row>
    <row r="914" spans="1:15" x14ac:dyDescent="0.3">
      <c r="A914">
        <v>1913</v>
      </c>
      <c r="B914" t="s">
        <v>104</v>
      </c>
      <c r="C914" t="s">
        <v>14</v>
      </c>
      <c r="D914" t="s">
        <v>26</v>
      </c>
      <c r="E914" t="s">
        <v>27</v>
      </c>
      <c r="F914" t="s">
        <v>17</v>
      </c>
      <c r="G914">
        <v>3</v>
      </c>
      <c r="H914">
        <v>884</v>
      </c>
      <c r="I914">
        <v>2652</v>
      </c>
      <c r="J914">
        <v>1591</v>
      </c>
      <c r="K914">
        <v>1061</v>
      </c>
      <c r="L914" t="s">
        <v>28</v>
      </c>
      <c r="M914" t="s">
        <v>29</v>
      </c>
      <c r="N914" t="str">
        <f>IF(SalesTbl[[#This Row],[Profit]]&gt;180,"High Profit","Low Profit")</f>
        <v>High Profit</v>
      </c>
      <c r="O914" t="str">
        <f>TEXT(SalesTbl[[#This Row],[Date]],"mmm")</f>
        <v>Jan</v>
      </c>
    </row>
    <row r="915" spans="1:15" x14ac:dyDescent="0.3">
      <c r="A915">
        <v>1194</v>
      </c>
      <c r="B915" t="s">
        <v>144</v>
      </c>
      <c r="C915" t="s">
        <v>40</v>
      </c>
      <c r="D915" t="s">
        <v>32</v>
      </c>
      <c r="E915" t="s">
        <v>27</v>
      </c>
      <c r="F915" t="s">
        <v>17</v>
      </c>
      <c r="G915">
        <v>9</v>
      </c>
      <c r="H915">
        <v>55</v>
      </c>
      <c r="I915">
        <v>495</v>
      </c>
      <c r="J915">
        <v>366</v>
      </c>
      <c r="K915">
        <v>129</v>
      </c>
      <c r="L915" t="s">
        <v>33</v>
      </c>
      <c r="M915" t="s">
        <v>19</v>
      </c>
      <c r="N915" t="str">
        <f>IF(SalesTbl[[#This Row],[Profit]]&gt;180,"High Profit","Low Profit")</f>
        <v>Low Profit</v>
      </c>
      <c r="O915" t="str">
        <f>TEXT(SalesTbl[[#This Row],[Date]],"mmm")</f>
        <v>Mar</v>
      </c>
    </row>
    <row r="916" spans="1:15" x14ac:dyDescent="0.3">
      <c r="A916">
        <v>1451</v>
      </c>
      <c r="B916" t="s">
        <v>170</v>
      </c>
      <c r="C916" t="s">
        <v>40</v>
      </c>
      <c r="D916" t="s">
        <v>26</v>
      </c>
      <c r="E916" t="s">
        <v>16</v>
      </c>
      <c r="F916" t="s">
        <v>17</v>
      </c>
      <c r="G916">
        <v>1</v>
      </c>
      <c r="H916">
        <v>351</v>
      </c>
      <c r="I916">
        <v>351</v>
      </c>
      <c r="J916">
        <v>228</v>
      </c>
      <c r="K916">
        <v>123</v>
      </c>
      <c r="L916" t="s">
        <v>33</v>
      </c>
      <c r="M916" t="s">
        <v>19</v>
      </c>
      <c r="N916" t="str">
        <f>IF(SalesTbl[[#This Row],[Profit]]&gt;180,"High Profit","Low Profit")</f>
        <v>Low Profit</v>
      </c>
      <c r="O916" t="str">
        <f>TEXT(SalesTbl[[#This Row],[Date]],"mmm")</f>
        <v>Jan</v>
      </c>
    </row>
    <row r="917" spans="1:15" x14ac:dyDescent="0.3">
      <c r="A917">
        <v>1916</v>
      </c>
      <c r="B917" t="s">
        <v>93</v>
      </c>
      <c r="C917" t="s">
        <v>21</v>
      </c>
      <c r="D917" t="s">
        <v>32</v>
      </c>
      <c r="E917" t="s">
        <v>48</v>
      </c>
      <c r="F917" t="s">
        <v>23</v>
      </c>
      <c r="G917">
        <v>10</v>
      </c>
      <c r="H917">
        <v>680</v>
      </c>
      <c r="I917">
        <v>6800</v>
      </c>
      <c r="J917">
        <v>4148</v>
      </c>
      <c r="K917">
        <v>2652</v>
      </c>
      <c r="L917" t="s">
        <v>38</v>
      </c>
      <c r="M917" t="s">
        <v>29</v>
      </c>
      <c r="N917" t="str">
        <f>IF(SalesTbl[[#This Row],[Profit]]&gt;180,"High Profit","Low Profit")</f>
        <v>High Profit</v>
      </c>
      <c r="O917" t="str">
        <f>TEXT(SalesTbl[[#This Row],[Date]],"mmm")</f>
        <v>Jun</v>
      </c>
    </row>
    <row r="918" spans="1:15" x14ac:dyDescent="0.3">
      <c r="A918">
        <v>1917</v>
      </c>
      <c r="B918" t="s">
        <v>131</v>
      </c>
      <c r="C918" t="s">
        <v>31</v>
      </c>
      <c r="D918" t="s">
        <v>26</v>
      </c>
      <c r="E918" t="s">
        <v>22</v>
      </c>
      <c r="F918" t="s">
        <v>23</v>
      </c>
      <c r="G918">
        <v>2</v>
      </c>
      <c r="H918">
        <v>365</v>
      </c>
      <c r="I918">
        <v>730</v>
      </c>
      <c r="J918">
        <v>474</v>
      </c>
      <c r="K918">
        <v>256</v>
      </c>
      <c r="L918" t="s">
        <v>33</v>
      </c>
      <c r="M918" t="s">
        <v>19</v>
      </c>
      <c r="N918" t="str">
        <f>IF(SalesTbl[[#This Row],[Profit]]&gt;180,"High Profit","Low Profit")</f>
        <v>High Profit</v>
      </c>
      <c r="O918" t="str">
        <f>TEXT(SalesTbl[[#This Row],[Date]],"mmm")</f>
        <v>May</v>
      </c>
    </row>
    <row r="919" spans="1:15" x14ac:dyDescent="0.3">
      <c r="A919">
        <v>1918</v>
      </c>
      <c r="B919" t="s">
        <v>207</v>
      </c>
      <c r="C919" t="s">
        <v>31</v>
      </c>
      <c r="D919" t="s">
        <v>15</v>
      </c>
      <c r="E919" t="s">
        <v>16</v>
      </c>
      <c r="F919" t="s">
        <v>17</v>
      </c>
      <c r="G919">
        <v>7</v>
      </c>
      <c r="H919">
        <v>149</v>
      </c>
      <c r="I919">
        <v>1043</v>
      </c>
      <c r="J919">
        <v>834</v>
      </c>
      <c r="K919">
        <v>209</v>
      </c>
      <c r="L919" t="s">
        <v>38</v>
      </c>
      <c r="M919" t="s">
        <v>29</v>
      </c>
      <c r="N919" t="str">
        <f>IF(SalesTbl[[#This Row],[Profit]]&gt;180,"High Profit","Low Profit")</f>
        <v>High Profit</v>
      </c>
      <c r="O919" t="str">
        <f>TEXT(SalesTbl[[#This Row],[Date]],"mmm")</f>
        <v>Jun</v>
      </c>
    </row>
    <row r="920" spans="1:15" x14ac:dyDescent="0.3">
      <c r="A920">
        <v>1919</v>
      </c>
      <c r="B920" t="s">
        <v>95</v>
      </c>
      <c r="C920" t="s">
        <v>21</v>
      </c>
      <c r="D920" t="s">
        <v>32</v>
      </c>
      <c r="E920" t="s">
        <v>48</v>
      </c>
      <c r="F920" t="s">
        <v>23</v>
      </c>
      <c r="G920">
        <v>3</v>
      </c>
      <c r="H920">
        <v>67</v>
      </c>
      <c r="I920">
        <v>201</v>
      </c>
      <c r="J920">
        <v>126</v>
      </c>
      <c r="K920">
        <v>75</v>
      </c>
      <c r="L920" t="s">
        <v>18</v>
      </c>
      <c r="M920" t="s">
        <v>29</v>
      </c>
      <c r="N920" t="str">
        <f>IF(SalesTbl[[#This Row],[Profit]]&gt;180,"High Profit","Low Profit")</f>
        <v>Low Profit</v>
      </c>
      <c r="O920" t="str">
        <f>TEXT(SalesTbl[[#This Row],[Date]],"mmm")</f>
        <v>Feb</v>
      </c>
    </row>
    <row r="921" spans="1:15" x14ac:dyDescent="0.3">
      <c r="A921">
        <v>1920</v>
      </c>
      <c r="B921" t="s">
        <v>42</v>
      </c>
      <c r="C921" t="s">
        <v>40</v>
      </c>
      <c r="D921" t="s">
        <v>26</v>
      </c>
      <c r="E921" t="s">
        <v>48</v>
      </c>
      <c r="F921" t="s">
        <v>23</v>
      </c>
      <c r="G921">
        <v>10</v>
      </c>
      <c r="H921">
        <v>655</v>
      </c>
      <c r="I921">
        <v>6550</v>
      </c>
      <c r="J921">
        <v>4716</v>
      </c>
      <c r="K921">
        <v>1834</v>
      </c>
      <c r="L921" t="s">
        <v>38</v>
      </c>
      <c r="M921" t="s">
        <v>29</v>
      </c>
      <c r="N921" t="str">
        <f>IF(SalesTbl[[#This Row],[Profit]]&gt;180,"High Profit","Low Profit")</f>
        <v>High Profit</v>
      </c>
      <c r="O921" t="str">
        <f>TEXT(SalesTbl[[#This Row],[Date]],"mmm")</f>
        <v>Apr</v>
      </c>
    </row>
    <row r="922" spans="1:15" x14ac:dyDescent="0.3">
      <c r="A922">
        <v>1921</v>
      </c>
      <c r="B922" t="s">
        <v>111</v>
      </c>
      <c r="C922" t="s">
        <v>40</v>
      </c>
      <c r="D922" t="s">
        <v>15</v>
      </c>
      <c r="E922" t="s">
        <v>22</v>
      </c>
      <c r="F922" t="s">
        <v>23</v>
      </c>
      <c r="G922">
        <v>8</v>
      </c>
      <c r="H922">
        <v>562</v>
      </c>
      <c r="I922">
        <v>4496</v>
      </c>
      <c r="J922">
        <v>2922</v>
      </c>
      <c r="K922">
        <v>1574</v>
      </c>
      <c r="L922" t="s">
        <v>18</v>
      </c>
      <c r="M922" t="s">
        <v>19</v>
      </c>
      <c r="N922" t="str">
        <f>IF(SalesTbl[[#This Row],[Profit]]&gt;180,"High Profit","Low Profit")</f>
        <v>High Profit</v>
      </c>
      <c r="O922" t="str">
        <f>TEXT(SalesTbl[[#This Row],[Date]],"mmm")</f>
        <v>Apr</v>
      </c>
    </row>
    <row r="923" spans="1:15" x14ac:dyDescent="0.3">
      <c r="A923">
        <v>1922</v>
      </c>
      <c r="B923" t="s">
        <v>211</v>
      </c>
      <c r="C923" t="s">
        <v>31</v>
      </c>
      <c r="D923" t="s">
        <v>35</v>
      </c>
      <c r="E923" t="s">
        <v>48</v>
      </c>
      <c r="F923" t="s">
        <v>23</v>
      </c>
      <c r="G923">
        <v>9</v>
      </c>
      <c r="H923">
        <v>850</v>
      </c>
      <c r="I923">
        <v>7650</v>
      </c>
      <c r="J923">
        <v>6043</v>
      </c>
      <c r="K923">
        <v>1607</v>
      </c>
      <c r="L923" t="s">
        <v>33</v>
      </c>
      <c r="M923" t="s">
        <v>19</v>
      </c>
      <c r="N923" t="str">
        <f>IF(SalesTbl[[#This Row],[Profit]]&gt;180,"High Profit","Low Profit")</f>
        <v>High Profit</v>
      </c>
      <c r="O923" t="str">
        <f>TEXT(SalesTbl[[#This Row],[Date]],"mmm")</f>
        <v>Mar</v>
      </c>
    </row>
    <row r="924" spans="1:15" x14ac:dyDescent="0.3">
      <c r="A924">
        <v>1368</v>
      </c>
      <c r="B924" t="s">
        <v>25</v>
      </c>
      <c r="C924" t="s">
        <v>40</v>
      </c>
      <c r="D924" t="s">
        <v>32</v>
      </c>
      <c r="E924" t="s">
        <v>41</v>
      </c>
      <c r="F924" t="s">
        <v>17</v>
      </c>
      <c r="G924">
        <v>1</v>
      </c>
      <c r="H924">
        <v>469</v>
      </c>
      <c r="I924">
        <v>469</v>
      </c>
      <c r="J924">
        <v>347</v>
      </c>
      <c r="K924">
        <v>122</v>
      </c>
      <c r="L924" t="s">
        <v>33</v>
      </c>
      <c r="M924" t="s">
        <v>29</v>
      </c>
      <c r="N924" t="str">
        <f>IF(SalesTbl[[#This Row],[Profit]]&gt;180,"High Profit","Low Profit")</f>
        <v>Low Profit</v>
      </c>
      <c r="O924" t="str">
        <f>TEXT(SalesTbl[[#This Row],[Date]],"mmm")</f>
        <v>Feb</v>
      </c>
    </row>
    <row r="925" spans="1:15" x14ac:dyDescent="0.3">
      <c r="A925">
        <v>1924</v>
      </c>
      <c r="B925" t="s">
        <v>175</v>
      </c>
      <c r="C925" t="s">
        <v>40</v>
      </c>
      <c r="D925" t="s">
        <v>35</v>
      </c>
      <c r="E925" t="s">
        <v>48</v>
      </c>
      <c r="F925" t="s">
        <v>23</v>
      </c>
      <c r="G925">
        <v>3</v>
      </c>
      <c r="H925">
        <v>188</v>
      </c>
      <c r="I925">
        <v>564</v>
      </c>
      <c r="J925">
        <v>400</v>
      </c>
      <c r="K925">
        <v>164</v>
      </c>
      <c r="L925" t="s">
        <v>28</v>
      </c>
      <c r="M925" t="s">
        <v>19</v>
      </c>
      <c r="N925" t="str">
        <f>IF(SalesTbl[[#This Row],[Profit]]&gt;180,"High Profit","Low Profit")</f>
        <v>Low Profit</v>
      </c>
      <c r="O925" t="str">
        <f>TEXT(SalesTbl[[#This Row],[Date]],"mmm")</f>
        <v>May</v>
      </c>
    </row>
    <row r="926" spans="1:15" x14ac:dyDescent="0.3">
      <c r="A926">
        <v>1925</v>
      </c>
      <c r="B926" t="s">
        <v>105</v>
      </c>
      <c r="C926" t="s">
        <v>31</v>
      </c>
      <c r="D926" t="s">
        <v>15</v>
      </c>
      <c r="E926" t="s">
        <v>54</v>
      </c>
      <c r="F926" t="s">
        <v>17</v>
      </c>
      <c r="G926">
        <v>3</v>
      </c>
      <c r="H926">
        <v>146</v>
      </c>
      <c r="I926">
        <v>438</v>
      </c>
      <c r="J926">
        <v>280</v>
      </c>
      <c r="K926">
        <v>158</v>
      </c>
      <c r="L926" t="s">
        <v>18</v>
      </c>
      <c r="M926" t="s">
        <v>29</v>
      </c>
      <c r="N926" t="str">
        <f>IF(SalesTbl[[#This Row],[Profit]]&gt;180,"High Profit","Low Profit")</f>
        <v>Low Profit</v>
      </c>
      <c r="O926" t="str">
        <f>TEXT(SalesTbl[[#This Row],[Date]],"mmm")</f>
        <v>Jun</v>
      </c>
    </row>
    <row r="927" spans="1:15" x14ac:dyDescent="0.3">
      <c r="A927">
        <v>1926</v>
      </c>
      <c r="B927" t="s">
        <v>36</v>
      </c>
      <c r="C927" t="s">
        <v>21</v>
      </c>
      <c r="D927" t="s">
        <v>32</v>
      </c>
      <c r="E927" t="s">
        <v>54</v>
      </c>
      <c r="F927" t="s">
        <v>17</v>
      </c>
      <c r="G927">
        <v>7</v>
      </c>
      <c r="H927">
        <v>835</v>
      </c>
      <c r="I927">
        <v>5845</v>
      </c>
      <c r="J927">
        <v>3799</v>
      </c>
      <c r="K927">
        <v>2046</v>
      </c>
      <c r="L927" t="s">
        <v>38</v>
      </c>
      <c r="M927" t="s">
        <v>19</v>
      </c>
      <c r="N927" t="str">
        <f>IF(SalesTbl[[#This Row],[Profit]]&gt;180,"High Profit","Low Profit")</f>
        <v>High Profit</v>
      </c>
      <c r="O927" t="str">
        <f>TEXT(SalesTbl[[#This Row],[Date]],"mmm")</f>
        <v>May</v>
      </c>
    </row>
    <row r="928" spans="1:15" x14ac:dyDescent="0.3">
      <c r="A928">
        <v>1927</v>
      </c>
      <c r="B928" t="s">
        <v>42</v>
      </c>
      <c r="C928" t="s">
        <v>14</v>
      </c>
      <c r="D928" t="s">
        <v>15</v>
      </c>
      <c r="E928" t="s">
        <v>16</v>
      </c>
      <c r="F928" t="s">
        <v>17</v>
      </c>
      <c r="G928">
        <v>10</v>
      </c>
      <c r="H928">
        <v>539</v>
      </c>
      <c r="I928">
        <v>5390</v>
      </c>
      <c r="J928">
        <v>4042</v>
      </c>
      <c r="K928">
        <v>1348</v>
      </c>
      <c r="L928" t="s">
        <v>24</v>
      </c>
      <c r="M928" t="s">
        <v>19</v>
      </c>
      <c r="N928" t="str">
        <f>IF(SalesTbl[[#This Row],[Profit]]&gt;180,"High Profit","Low Profit")</f>
        <v>High Profit</v>
      </c>
      <c r="O928" t="str">
        <f>TEXT(SalesTbl[[#This Row],[Date]],"mmm")</f>
        <v>Apr</v>
      </c>
    </row>
    <row r="929" spans="1:15" x14ac:dyDescent="0.3">
      <c r="A929">
        <v>1675</v>
      </c>
      <c r="B929" t="s">
        <v>87</v>
      </c>
      <c r="C929" t="s">
        <v>40</v>
      </c>
      <c r="D929" t="s">
        <v>32</v>
      </c>
      <c r="E929" t="s">
        <v>41</v>
      </c>
      <c r="F929" t="s">
        <v>17</v>
      </c>
      <c r="G929">
        <v>3</v>
      </c>
      <c r="H929">
        <v>177</v>
      </c>
      <c r="I929">
        <v>531</v>
      </c>
      <c r="J929">
        <v>414</v>
      </c>
      <c r="K929">
        <v>117</v>
      </c>
      <c r="L929" t="s">
        <v>33</v>
      </c>
      <c r="M929" t="s">
        <v>19</v>
      </c>
      <c r="N929" t="str">
        <f>IF(SalesTbl[[#This Row],[Profit]]&gt;180,"High Profit","Low Profit")</f>
        <v>Low Profit</v>
      </c>
      <c r="O929" t="str">
        <f>TEXT(SalesTbl[[#This Row],[Date]],"mmm")</f>
        <v>Feb</v>
      </c>
    </row>
    <row r="930" spans="1:15" x14ac:dyDescent="0.3">
      <c r="A930">
        <v>1929</v>
      </c>
      <c r="B930" t="s">
        <v>46</v>
      </c>
      <c r="C930" t="s">
        <v>14</v>
      </c>
      <c r="D930" t="s">
        <v>26</v>
      </c>
      <c r="E930" t="s">
        <v>48</v>
      </c>
      <c r="F930" t="s">
        <v>23</v>
      </c>
      <c r="G930">
        <v>3</v>
      </c>
      <c r="H930">
        <v>826</v>
      </c>
      <c r="I930">
        <v>2478</v>
      </c>
      <c r="J930">
        <v>1858</v>
      </c>
      <c r="K930">
        <v>620</v>
      </c>
      <c r="L930" t="s">
        <v>28</v>
      </c>
      <c r="M930" t="s">
        <v>29</v>
      </c>
      <c r="N930" t="str">
        <f>IF(SalesTbl[[#This Row],[Profit]]&gt;180,"High Profit","Low Profit")</f>
        <v>High Profit</v>
      </c>
      <c r="O930" t="str">
        <f>TEXT(SalesTbl[[#This Row],[Date]],"mmm")</f>
        <v>Mar</v>
      </c>
    </row>
    <row r="931" spans="1:15" x14ac:dyDescent="0.3">
      <c r="A931">
        <v>1930</v>
      </c>
      <c r="B931" t="s">
        <v>210</v>
      </c>
      <c r="C931" t="s">
        <v>14</v>
      </c>
      <c r="D931" t="s">
        <v>32</v>
      </c>
      <c r="E931" t="s">
        <v>54</v>
      </c>
      <c r="F931" t="s">
        <v>17</v>
      </c>
      <c r="G931">
        <v>8</v>
      </c>
      <c r="H931">
        <v>414</v>
      </c>
      <c r="I931">
        <v>3312</v>
      </c>
      <c r="J931">
        <v>2219</v>
      </c>
      <c r="K931">
        <v>1093</v>
      </c>
      <c r="L931" t="s">
        <v>33</v>
      </c>
      <c r="M931" t="s">
        <v>29</v>
      </c>
      <c r="N931" t="str">
        <f>IF(SalesTbl[[#This Row],[Profit]]&gt;180,"High Profit","Low Profit")</f>
        <v>High Profit</v>
      </c>
      <c r="O931" t="str">
        <f>TEXT(SalesTbl[[#This Row],[Date]],"mmm")</f>
        <v>Apr</v>
      </c>
    </row>
    <row r="932" spans="1:15" x14ac:dyDescent="0.3">
      <c r="A932">
        <v>1931</v>
      </c>
      <c r="B932" t="s">
        <v>162</v>
      </c>
      <c r="C932" t="s">
        <v>21</v>
      </c>
      <c r="D932" t="s">
        <v>15</v>
      </c>
      <c r="E932" t="s">
        <v>22</v>
      </c>
      <c r="F932" t="s">
        <v>23</v>
      </c>
      <c r="G932">
        <v>10</v>
      </c>
      <c r="H932">
        <v>369</v>
      </c>
      <c r="I932">
        <v>3690</v>
      </c>
      <c r="J932">
        <v>2841</v>
      </c>
      <c r="K932">
        <v>849</v>
      </c>
      <c r="L932" t="s">
        <v>28</v>
      </c>
      <c r="M932" t="s">
        <v>19</v>
      </c>
      <c r="N932" t="str">
        <f>IF(SalesTbl[[#This Row],[Profit]]&gt;180,"High Profit","Low Profit")</f>
        <v>High Profit</v>
      </c>
      <c r="O932" t="str">
        <f>TEXT(SalesTbl[[#This Row],[Date]],"mmm")</f>
        <v>Apr</v>
      </c>
    </row>
    <row r="933" spans="1:15" x14ac:dyDescent="0.3">
      <c r="A933">
        <v>1932</v>
      </c>
      <c r="B933" t="s">
        <v>100</v>
      </c>
      <c r="C933" t="s">
        <v>21</v>
      </c>
      <c r="D933" t="s">
        <v>15</v>
      </c>
      <c r="E933" t="s">
        <v>54</v>
      </c>
      <c r="F933" t="s">
        <v>17</v>
      </c>
      <c r="G933">
        <v>5</v>
      </c>
      <c r="H933">
        <v>128</v>
      </c>
      <c r="I933">
        <v>640</v>
      </c>
      <c r="J933">
        <v>486</v>
      </c>
      <c r="K933">
        <v>154</v>
      </c>
      <c r="L933" t="s">
        <v>24</v>
      </c>
      <c r="M933" t="s">
        <v>19</v>
      </c>
      <c r="N933" t="str">
        <f>IF(SalesTbl[[#This Row],[Profit]]&gt;180,"High Profit","Low Profit")</f>
        <v>Low Profit</v>
      </c>
      <c r="O933" t="str">
        <f>TEXT(SalesTbl[[#This Row],[Date]],"mmm")</f>
        <v>Jan</v>
      </c>
    </row>
    <row r="934" spans="1:15" x14ac:dyDescent="0.3">
      <c r="A934">
        <v>1258</v>
      </c>
      <c r="B934" t="s">
        <v>171</v>
      </c>
      <c r="C934" t="s">
        <v>40</v>
      </c>
      <c r="D934" t="s">
        <v>15</v>
      </c>
      <c r="E934" t="s">
        <v>54</v>
      </c>
      <c r="F934" t="s">
        <v>17</v>
      </c>
      <c r="G934">
        <v>3</v>
      </c>
      <c r="H934">
        <v>129</v>
      </c>
      <c r="I934">
        <v>387</v>
      </c>
      <c r="J934">
        <v>282</v>
      </c>
      <c r="K934">
        <v>105</v>
      </c>
      <c r="L934" t="s">
        <v>28</v>
      </c>
      <c r="M934" t="s">
        <v>29</v>
      </c>
      <c r="N934" t="str">
        <f>IF(SalesTbl[[#This Row],[Profit]]&gt;180,"High Profit","Low Profit")</f>
        <v>Low Profit</v>
      </c>
      <c r="O934" t="str">
        <f>TEXT(SalesTbl[[#This Row],[Date]],"mmm")</f>
        <v>Apr</v>
      </c>
    </row>
    <row r="935" spans="1:15" x14ac:dyDescent="0.3">
      <c r="A935">
        <v>1934</v>
      </c>
      <c r="B935" t="s">
        <v>70</v>
      </c>
      <c r="C935" t="s">
        <v>31</v>
      </c>
      <c r="D935" t="s">
        <v>15</v>
      </c>
      <c r="E935" t="s">
        <v>27</v>
      </c>
      <c r="F935" t="s">
        <v>17</v>
      </c>
      <c r="G935">
        <v>3</v>
      </c>
      <c r="H935">
        <v>136</v>
      </c>
      <c r="I935">
        <v>408</v>
      </c>
      <c r="J935">
        <v>248</v>
      </c>
      <c r="K935">
        <v>160</v>
      </c>
      <c r="L935" t="s">
        <v>18</v>
      </c>
      <c r="M935" t="s">
        <v>29</v>
      </c>
      <c r="N935" t="str">
        <f>IF(SalesTbl[[#This Row],[Profit]]&gt;180,"High Profit","Low Profit")</f>
        <v>Low Profit</v>
      </c>
      <c r="O935" t="str">
        <f>TEXT(SalesTbl[[#This Row],[Date]],"mmm")</f>
        <v>Mar</v>
      </c>
    </row>
    <row r="936" spans="1:15" x14ac:dyDescent="0.3">
      <c r="A936">
        <v>1935</v>
      </c>
      <c r="B936" t="s">
        <v>105</v>
      </c>
      <c r="C936" t="s">
        <v>40</v>
      </c>
      <c r="D936" t="s">
        <v>35</v>
      </c>
      <c r="E936" t="s">
        <v>48</v>
      </c>
      <c r="F936" t="s">
        <v>23</v>
      </c>
      <c r="G936">
        <v>6</v>
      </c>
      <c r="H936">
        <v>500</v>
      </c>
      <c r="I936">
        <v>3000</v>
      </c>
      <c r="J936">
        <v>2400</v>
      </c>
      <c r="K936">
        <v>600</v>
      </c>
      <c r="L936" t="s">
        <v>28</v>
      </c>
      <c r="M936" t="s">
        <v>19</v>
      </c>
      <c r="N936" t="str">
        <f>IF(SalesTbl[[#This Row],[Profit]]&gt;180,"High Profit","Low Profit")</f>
        <v>High Profit</v>
      </c>
      <c r="O936" t="str">
        <f>TEXT(SalesTbl[[#This Row],[Date]],"mmm")</f>
        <v>Jun</v>
      </c>
    </row>
    <row r="937" spans="1:15" x14ac:dyDescent="0.3">
      <c r="A937">
        <v>1936</v>
      </c>
      <c r="B937" t="s">
        <v>110</v>
      </c>
      <c r="C937" t="s">
        <v>14</v>
      </c>
      <c r="D937" t="s">
        <v>35</v>
      </c>
      <c r="E937" t="s">
        <v>54</v>
      </c>
      <c r="F937" t="s">
        <v>17</v>
      </c>
      <c r="G937">
        <v>6</v>
      </c>
      <c r="H937">
        <v>258</v>
      </c>
      <c r="I937">
        <v>1548</v>
      </c>
      <c r="J937">
        <v>1114</v>
      </c>
      <c r="K937">
        <v>434</v>
      </c>
      <c r="L937" t="s">
        <v>28</v>
      </c>
      <c r="M937" t="s">
        <v>29</v>
      </c>
      <c r="N937" t="str">
        <f>IF(SalesTbl[[#This Row],[Profit]]&gt;180,"High Profit","Low Profit")</f>
        <v>High Profit</v>
      </c>
      <c r="O937" t="str">
        <f>TEXT(SalesTbl[[#This Row],[Date]],"mmm")</f>
        <v>Apr</v>
      </c>
    </row>
    <row r="938" spans="1:15" x14ac:dyDescent="0.3">
      <c r="A938">
        <v>1214</v>
      </c>
      <c r="B938" t="s">
        <v>151</v>
      </c>
      <c r="C938" t="s">
        <v>40</v>
      </c>
      <c r="D938" t="s">
        <v>35</v>
      </c>
      <c r="E938" t="s">
        <v>54</v>
      </c>
      <c r="F938" t="s">
        <v>17</v>
      </c>
      <c r="G938">
        <v>5</v>
      </c>
      <c r="H938">
        <v>97</v>
      </c>
      <c r="I938">
        <v>485</v>
      </c>
      <c r="J938">
        <v>388</v>
      </c>
      <c r="K938">
        <v>97</v>
      </c>
      <c r="L938" t="s">
        <v>38</v>
      </c>
      <c r="M938" t="s">
        <v>29</v>
      </c>
      <c r="N938" t="str">
        <f>IF(SalesTbl[[#This Row],[Profit]]&gt;180,"High Profit","Low Profit")</f>
        <v>Low Profit</v>
      </c>
      <c r="O938" t="str">
        <f>TEXT(SalesTbl[[#This Row],[Date]],"mmm")</f>
        <v>Jan</v>
      </c>
    </row>
    <row r="939" spans="1:15" x14ac:dyDescent="0.3">
      <c r="A939">
        <v>1938</v>
      </c>
      <c r="B939" t="s">
        <v>202</v>
      </c>
      <c r="C939" t="s">
        <v>21</v>
      </c>
      <c r="D939" t="s">
        <v>32</v>
      </c>
      <c r="E939" t="s">
        <v>22</v>
      </c>
      <c r="F939" t="s">
        <v>23</v>
      </c>
      <c r="G939">
        <v>8</v>
      </c>
      <c r="H939">
        <v>154</v>
      </c>
      <c r="I939">
        <v>1232</v>
      </c>
      <c r="J939">
        <v>985</v>
      </c>
      <c r="K939">
        <v>247</v>
      </c>
      <c r="L939" t="s">
        <v>28</v>
      </c>
      <c r="M939" t="s">
        <v>29</v>
      </c>
      <c r="N939" t="str">
        <f>IF(SalesTbl[[#This Row],[Profit]]&gt;180,"High Profit","Low Profit")</f>
        <v>High Profit</v>
      </c>
      <c r="O939" t="str">
        <f>TEXT(SalesTbl[[#This Row],[Date]],"mmm")</f>
        <v>Feb</v>
      </c>
    </row>
    <row r="940" spans="1:15" x14ac:dyDescent="0.3">
      <c r="A940">
        <v>1939</v>
      </c>
      <c r="B940" t="s">
        <v>195</v>
      </c>
      <c r="C940" t="s">
        <v>21</v>
      </c>
      <c r="D940" t="s">
        <v>15</v>
      </c>
      <c r="E940" t="s">
        <v>48</v>
      </c>
      <c r="F940" t="s">
        <v>23</v>
      </c>
      <c r="G940">
        <v>8</v>
      </c>
      <c r="H940">
        <v>625</v>
      </c>
      <c r="I940">
        <v>5000</v>
      </c>
      <c r="J940">
        <v>3550</v>
      </c>
      <c r="K940">
        <v>1450</v>
      </c>
      <c r="L940" t="s">
        <v>18</v>
      </c>
      <c r="M940" t="s">
        <v>19</v>
      </c>
      <c r="N940" t="str">
        <f>IF(SalesTbl[[#This Row],[Profit]]&gt;180,"High Profit","Low Profit")</f>
        <v>High Profit</v>
      </c>
      <c r="O940" t="str">
        <f>TEXT(SalesTbl[[#This Row],[Date]],"mmm")</f>
        <v>Feb</v>
      </c>
    </row>
    <row r="941" spans="1:15" x14ac:dyDescent="0.3">
      <c r="A941">
        <v>1940</v>
      </c>
      <c r="B941" t="s">
        <v>81</v>
      </c>
      <c r="C941" t="s">
        <v>21</v>
      </c>
      <c r="D941" t="s">
        <v>32</v>
      </c>
      <c r="E941" t="s">
        <v>54</v>
      </c>
      <c r="F941" t="s">
        <v>17</v>
      </c>
      <c r="G941">
        <v>8</v>
      </c>
      <c r="H941">
        <v>777</v>
      </c>
      <c r="I941">
        <v>6216</v>
      </c>
      <c r="J941">
        <v>3978</v>
      </c>
      <c r="K941">
        <v>2238</v>
      </c>
      <c r="L941" t="s">
        <v>28</v>
      </c>
      <c r="M941" t="s">
        <v>19</v>
      </c>
      <c r="N941" t="str">
        <f>IF(SalesTbl[[#This Row],[Profit]]&gt;180,"High Profit","Low Profit")</f>
        <v>High Profit</v>
      </c>
      <c r="O941" t="str">
        <f>TEXT(SalesTbl[[#This Row],[Date]],"mmm")</f>
        <v>Apr</v>
      </c>
    </row>
    <row r="942" spans="1:15" x14ac:dyDescent="0.3">
      <c r="A942">
        <v>1941</v>
      </c>
      <c r="B942" t="s">
        <v>131</v>
      </c>
      <c r="C942" t="s">
        <v>14</v>
      </c>
      <c r="D942" t="s">
        <v>26</v>
      </c>
      <c r="E942" t="s">
        <v>54</v>
      </c>
      <c r="F942" t="s">
        <v>17</v>
      </c>
      <c r="G942">
        <v>7</v>
      </c>
      <c r="H942">
        <v>92</v>
      </c>
      <c r="I942">
        <v>644</v>
      </c>
      <c r="J942">
        <v>463</v>
      </c>
      <c r="K942">
        <v>181</v>
      </c>
      <c r="L942" t="s">
        <v>24</v>
      </c>
      <c r="M942" t="s">
        <v>29</v>
      </c>
      <c r="N942" t="str">
        <f>IF(SalesTbl[[#This Row],[Profit]]&gt;180,"High Profit","Low Profit")</f>
        <v>High Profit</v>
      </c>
      <c r="O942" t="str">
        <f>TEXT(SalesTbl[[#This Row],[Date]],"mmm")</f>
        <v>May</v>
      </c>
    </row>
    <row r="943" spans="1:15" x14ac:dyDescent="0.3">
      <c r="A943">
        <v>1942</v>
      </c>
      <c r="B943" t="s">
        <v>36</v>
      </c>
      <c r="C943" t="s">
        <v>14</v>
      </c>
      <c r="D943" t="s">
        <v>32</v>
      </c>
      <c r="E943" t="s">
        <v>27</v>
      </c>
      <c r="F943" t="s">
        <v>17</v>
      </c>
      <c r="G943">
        <v>3</v>
      </c>
      <c r="H943">
        <v>552</v>
      </c>
      <c r="I943">
        <v>1656</v>
      </c>
      <c r="J943">
        <v>1043</v>
      </c>
      <c r="K943">
        <v>613</v>
      </c>
      <c r="L943" t="s">
        <v>33</v>
      </c>
      <c r="M943" t="s">
        <v>19</v>
      </c>
      <c r="N943" t="str">
        <f>IF(SalesTbl[[#This Row],[Profit]]&gt;180,"High Profit","Low Profit")</f>
        <v>High Profit</v>
      </c>
      <c r="O943" t="str">
        <f>TEXT(SalesTbl[[#This Row],[Date]],"mmm")</f>
        <v>May</v>
      </c>
    </row>
    <row r="944" spans="1:15" x14ac:dyDescent="0.3">
      <c r="A944">
        <v>1943</v>
      </c>
      <c r="B944" t="s">
        <v>189</v>
      </c>
      <c r="C944" t="s">
        <v>21</v>
      </c>
      <c r="D944" t="s">
        <v>26</v>
      </c>
      <c r="E944" t="s">
        <v>48</v>
      </c>
      <c r="F944" t="s">
        <v>23</v>
      </c>
      <c r="G944">
        <v>6</v>
      </c>
      <c r="H944">
        <v>151</v>
      </c>
      <c r="I944">
        <v>906</v>
      </c>
      <c r="J944">
        <v>570</v>
      </c>
      <c r="K944">
        <v>336</v>
      </c>
      <c r="L944" t="s">
        <v>24</v>
      </c>
      <c r="M944" t="s">
        <v>29</v>
      </c>
      <c r="N944" t="str">
        <f>IF(SalesTbl[[#This Row],[Profit]]&gt;180,"High Profit","Low Profit")</f>
        <v>High Profit</v>
      </c>
      <c r="O944" t="str">
        <f>TEXT(SalesTbl[[#This Row],[Date]],"mmm")</f>
        <v>May</v>
      </c>
    </row>
    <row r="945" spans="1:15" x14ac:dyDescent="0.3">
      <c r="A945">
        <v>1183</v>
      </c>
      <c r="B945" t="s">
        <v>138</v>
      </c>
      <c r="C945" t="s">
        <v>40</v>
      </c>
      <c r="D945" t="s">
        <v>26</v>
      </c>
      <c r="E945" t="s">
        <v>27</v>
      </c>
      <c r="F945" t="s">
        <v>17</v>
      </c>
      <c r="G945">
        <v>5</v>
      </c>
      <c r="H945">
        <v>74</v>
      </c>
      <c r="I945">
        <v>370</v>
      </c>
      <c r="J945">
        <v>288</v>
      </c>
      <c r="K945">
        <v>82</v>
      </c>
      <c r="L945" t="s">
        <v>38</v>
      </c>
      <c r="M945" t="s">
        <v>29</v>
      </c>
      <c r="N945" t="str">
        <f>IF(SalesTbl[[#This Row],[Profit]]&gt;180,"High Profit","Low Profit")</f>
        <v>Low Profit</v>
      </c>
      <c r="O945" t="str">
        <f>TEXT(SalesTbl[[#This Row],[Date]],"mmm")</f>
        <v>May</v>
      </c>
    </row>
    <row r="946" spans="1:15" x14ac:dyDescent="0.3">
      <c r="A946">
        <v>1945</v>
      </c>
      <c r="B946" t="s">
        <v>146</v>
      </c>
      <c r="C946" t="s">
        <v>21</v>
      </c>
      <c r="D946" t="s">
        <v>32</v>
      </c>
      <c r="E946" t="s">
        <v>48</v>
      </c>
      <c r="F946" t="s">
        <v>23</v>
      </c>
      <c r="G946">
        <v>8</v>
      </c>
      <c r="H946">
        <v>485</v>
      </c>
      <c r="I946">
        <v>3880</v>
      </c>
      <c r="J946">
        <v>2522</v>
      </c>
      <c r="K946">
        <v>1358</v>
      </c>
      <c r="L946" t="s">
        <v>18</v>
      </c>
      <c r="M946" t="s">
        <v>29</v>
      </c>
      <c r="N946" t="str">
        <f>IF(SalesTbl[[#This Row],[Profit]]&gt;180,"High Profit","Low Profit")</f>
        <v>High Profit</v>
      </c>
      <c r="O946" t="str">
        <f>TEXT(SalesTbl[[#This Row],[Date]],"mmm")</f>
        <v>Feb</v>
      </c>
    </row>
    <row r="947" spans="1:15" x14ac:dyDescent="0.3">
      <c r="A947">
        <v>1946</v>
      </c>
      <c r="B947" t="s">
        <v>81</v>
      </c>
      <c r="C947" t="s">
        <v>40</v>
      </c>
      <c r="D947" t="s">
        <v>15</v>
      </c>
      <c r="E947" t="s">
        <v>22</v>
      </c>
      <c r="F947" t="s">
        <v>23</v>
      </c>
      <c r="G947">
        <v>3</v>
      </c>
      <c r="H947">
        <v>588</v>
      </c>
      <c r="I947">
        <v>1764</v>
      </c>
      <c r="J947">
        <v>1128</v>
      </c>
      <c r="K947">
        <v>636</v>
      </c>
      <c r="L947" t="s">
        <v>28</v>
      </c>
      <c r="M947" t="s">
        <v>29</v>
      </c>
      <c r="N947" t="str">
        <f>IF(SalesTbl[[#This Row],[Profit]]&gt;180,"High Profit","Low Profit")</f>
        <v>High Profit</v>
      </c>
      <c r="O947" t="str">
        <f>TEXT(SalesTbl[[#This Row],[Date]],"mmm")</f>
        <v>Apr</v>
      </c>
    </row>
    <row r="948" spans="1:15" x14ac:dyDescent="0.3">
      <c r="A948">
        <v>1947</v>
      </c>
      <c r="B948" t="s">
        <v>45</v>
      </c>
      <c r="C948" t="s">
        <v>21</v>
      </c>
      <c r="D948" t="s">
        <v>26</v>
      </c>
      <c r="E948" t="s">
        <v>16</v>
      </c>
      <c r="F948" t="s">
        <v>17</v>
      </c>
      <c r="G948">
        <v>7</v>
      </c>
      <c r="H948">
        <v>724</v>
      </c>
      <c r="I948">
        <v>5068</v>
      </c>
      <c r="J948">
        <v>3142</v>
      </c>
      <c r="K948">
        <v>1926</v>
      </c>
      <c r="L948" t="s">
        <v>24</v>
      </c>
      <c r="M948" t="s">
        <v>29</v>
      </c>
      <c r="N948" t="str">
        <f>IF(SalesTbl[[#This Row],[Profit]]&gt;180,"High Profit","Low Profit")</f>
        <v>High Profit</v>
      </c>
      <c r="O948" t="str">
        <f>TEXT(SalesTbl[[#This Row],[Date]],"mmm")</f>
        <v>May</v>
      </c>
    </row>
    <row r="949" spans="1:15" x14ac:dyDescent="0.3">
      <c r="A949">
        <v>1948</v>
      </c>
      <c r="B949" t="s">
        <v>30</v>
      </c>
      <c r="C949" t="s">
        <v>31</v>
      </c>
      <c r="D949" t="s">
        <v>15</v>
      </c>
      <c r="E949" t="s">
        <v>48</v>
      </c>
      <c r="F949" t="s">
        <v>23</v>
      </c>
      <c r="G949">
        <v>8</v>
      </c>
      <c r="H949">
        <v>902</v>
      </c>
      <c r="I949">
        <v>7216</v>
      </c>
      <c r="J949">
        <v>4762</v>
      </c>
      <c r="K949">
        <v>2454</v>
      </c>
      <c r="L949" t="s">
        <v>28</v>
      </c>
      <c r="M949" t="s">
        <v>29</v>
      </c>
      <c r="N949" t="str">
        <f>IF(SalesTbl[[#This Row],[Profit]]&gt;180,"High Profit","Low Profit")</f>
        <v>High Profit</v>
      </c>
      <c r="O949" t="str">
        <f>TEXT(SalesTbl[[#This Row],[Date]],"mmm")</f>
        <v>Feb</v>
      </c>
    </row>
    <row r="950" spans="1:15" x14ac:dyDescent="0.3">
      <c r="A950">
        <v>1949</v>
      </c>
      <c r="B950" t="s">
        <v>37</v>
      </c>
      <c r="C950" t="s">
        <v>14</v>
      </c>
      <c r="D950" t="s">
        <v>26</v>
      </c>
      <c r="E950" t="s">
        <v>54</v>
      </c>
      <c r="F950" t="s">
        <v>17</v>
      </c>
      <c r="G950">
        <v>2</v>
      </c>
      <c r="H950">
        <v>910</v>
      </c>
      <c r="I950">
        <v>1820</v>
      </c>
      <c r="J950">
        <v>1128</v>
      </c>
      <c r="K950">
        <v>692</v>
      </c>
      <c r="L950" t="s">
        <v>18</v>
      </c>
      <c r="M950" t="s">
        <v>29</v>
      </c>
      <c r="N950" t="str">
        <f>IF(SalesTbl[[#This Row],[Profit]]&gt;180,"High Profit","Low Profit")</f>
        <v>High Profit</v>
      </c>
      <c r="O950" t="str">
        <f>TEXT(SalesTbl[[#This Row],[Date]],"mmm")</f>
        <v>Jan</v>
      </c>
    </row>
    <row r="951" spans="1:15" x14ac:dyDescent="0.3">
      <c r="A951">
        <v>1950</v>
      </c>
      <c r="B951" t="s">
        <v>146</v>
      </c>
      <c r="C951" t="s">
        <v>14</v>
      </c>
      <c r="D951" t="s">
        <v>32</v>
      </c>
      <c r="E951" t="s">
        <v>54</v>
      </c>
      <c r="F951" t="s">
        <v>17</v>
      </c>
      <c r="G951">
        <v>7</v>
      </c>
      <c r="H951">
        <v>568</v>
      </c>
      <c r="I951">
        <v>3976</v>
      </c>
      <c r="J951">
        <v>2703</v>
      </c>
      <c r="K951">
        <v>1273</v>
      </c>
      <c r="L951" t="s">
        <v>24</v>
      </c>
      <c r="M951" t="s">
        <v>19</v>
      </c>
      <c r="N951" t="str">
        <f>IF(SalesTbl[[#This Row],[Profit]]&gt;180,"High Profit","Low Profit")</f>
        <v>High Profit</v>
      </c>
      <c r="O951" t="str">
        <f>TEXT(SalesTbl[[#This Row],[Date]],"mmm")</f>
        <v>Feb</v>
      </c>
    </row>
    <row r="952" spans="1:15" x14ac:dyDescent="0.3">
      <c r="A952">
        <v>1951</v>
      </c>
      <c r="B952" t="s">
        <v>90</v>
      </c>
      <c r="C952" t="s">
        <v>31</v>
      </c>
      <c r="D952" t="s">
        <v>15</v>
      </c>
      <c r="E952" t="s">
        <v>27</v>
      </c>
      <c r="F952" t="s">
        <v>17</v>
      </c>
      <c r="G952">
        <v>9</v>
      </c>
      <c r="H952">
        <v>784</v>
      </c>
      <c r="I952">
        <v>7056</v>
      </c>
      <c r="J952">
        <v>4656</v>
      </c>
      <c r="K952">
        <v>2400</v>
      </c>
      <c r="L952" t="s">
        <v>38</v>
      </c>
      <c r="M952" t="s">
        <v>19</v>
      </c>
      <c r="N952" t="str">
        <f>IF(SalesTbl[[#This Row],[Profit]]&gt;180,"High Profit","Low Profit")</f>
        <v>High Profit</v>
      </c>
      <c r="O952" t="str">
        <f>TEXT(SalesTbl[[#This Row],[Date]],"mmm")</f>
        <v>Jan</v>
      </c>
    </row>
    <row r="953" spans="1:15" x14ac:dyDescent="0.3">
      <c r="A953">
        <v>1952</v>
      </c>
      <c r="B953" t="s">
        <v>129</v>
      </c>
      <c r="C953" t="s">
        <v>31</v>
      </c>
      <c r="D953" t="s">
        <v>35</v>
      </c>
      <c r="E953" t="s">
        <v>27</v>
      </c>
      <c r="F953" t="s">
        <v>17</v>
      </c>
      <c r="G953">
        <v>5</v>
      </c>
      <c r="H953">
        <v>550</v>
      </c>
      <c r="I953">
        <v>2750</v>
      </c>
      <c r="J953">
        <v>2172</v>
      </c>
      <c r="K953">
        <v>578</v>
      </c>
      <c r="L953" t="s">
        <v>38</v>
      </c>
      <c r="M953" t="s">
        <v>19</v>
      </c>
      <c r="N953" t="str">
        <f>IF(SalesTbl[[#This Row],[Profit]]&gt;180,"High Profit","Low Profit")</f>
        <v>High Profit</v>
      </c>
      <c r="O953" t="str">
        <f>TEXT(SalesTbl[[#This Row],[Date]],"mmm")</f>
        <v>Mar</v>
      </c>
    </row>
    <row r="954" spans="1:15" x14ac:dyDescent="0.3">
      <c r="A954">
        <v>1953</v>
      </c>
      <c r="B954" t="s">
        <v>36</v>
      </c>
      <c r="C954" t="s">
        <v>31</v>
      </c>
      <c r="D954" t="s">
        <v>26</v>
      </c>
      <c r="E954" t="s">
        <v>48</v>
      </c>
      <c r="F954" t="s">
        <v>23</v>
      </c>
      <c r="G954">
        <v>6</v>
      </c>
      <c r="H954">
        <v>619</v>
      </c>
      <c r="I954">
        <v>3714</v>
      </c>
      <c r="J954">
        <v>2339</v>
      </c>
      <c r="K954">
        <v>1375</v>
      </c>
      <c r="L954" t="s">
        <v>18</v>
      </c>
      <c r="M954" t="s">
        <v>19</v>
      </c>
      <c r="N954" t="str">
        <f>IF(SalesTbl[[#This Row],[Profit]]&gt;180,"High Profit","Low Profit")</f>
        <v>High Profit</v>
      </c>
      <c r="O954" t="str">
        <f>TEXT(SalesTbl[[#This Row],[Date]],"mmm")</f>
        <v>May</v>
      </c>
    </row>
    <row r="955" spans="1:15" x14ac:dyDescent="0.3">
      <c r="A955">
        <v>1954</v>
      </c>
      <c r="B955" t="s">
        <v>55</v>
      </c>
      <c r="C955" t="s">
        <v>21</v>
      </c>
      <c r="D955" t="s">
        <v>32</v>
      </c>
      <c r="E955" t="s">
        <v>22</v>
      </c>
      <c r="F955" t="s">
        <v>23</v>
      </c>
      <c r="G955">
        <v>9</v>
      </c>
      <c r="H955">
        <v>953</v>
      </c>
      <c r="I955">
        <v>8577</v>
      </c>
      <c r="J955">
        <v>5832</v>
      </c>
      <c r="K955">
        <v>2745</v>
      </c>
      <c r="L955" t="s">
        <v>24</v>
      </c>
      <c r="M955" t="s">
        <v>29</v>
      </c>
      <c r="N955" t="str">
        <f>IF(SalesTbl[[#This Row],[Profit]]&gt;180,"High Profit","Low Profit")</f>
        <v>High Profit</v>
      </c>
      <c r="O955" t="str">
        <f>TEXT(SalesTbl[[#This Row],[Date]],"mmm")</f>
        <v>Feb</v>
      </c>
    </row>
    <row r="956" spans="1:15" x14ac:dyDescent="0.3">
      <c r="A956">
        <v>1955</v>
      </c>
      <c r="B956" t="s">
        <v>47</v>
      </c>
      <c r="C956" t="s">
        <v>40</v>
      </c>
      <c r="D956" t="s">
        <v>26</v>
      </c>
      <c r="E956" t="s">
        <v>22</v>
      </c>
      <c r="F956" t="s">
        <v>23</v>
      </c>
      <c r="G956">
        <v>4</v>
      </c>
      <c r="H956">
        <v>758</v>
      </c>
      <c r="I956">
        <v>3032</v>
      </c>
      <c r="J956">
        <v>2152</v>
      </c>
      <c r="K956">
        <v>880</v>
      </c>
      <c r="L956" t="s">
        <v>18</v>
      </c>
      <c r="M956" t="s">
        <v>29</v>
      </c>
      <c r="N956" t="str">
        <f>IF(SalesTbl[[#This Row],[Profit]]&gt;180,"High Profit","Low Profit")</f>
        <v>High Profit</v>
      </c>
      <c r="O956" t="str">
        <f>TEXT(SalesTbl[[#This Row],[Date]],"mmm")</f>
        <v>May</v>
      </c>
    </row>
    <row r="957" spans="1:15" x14ac:dyDescent="0.3">
      <c r="A957">
        <v>1956</v>
      </c>
      <c r="B957" t="s">
        <v>123</v>
      </c>
      <c r="C957" t="s">
        <v>31</v>
      </c>
      <c r="D957" t="s">
        <v>35</v>
      </c>
      <c r="E957" t="s">
        <v>16</v>
      </c>
      <c r="F957" t="s">
        <v>17</v>
      </c>
      <c r="G957">
        <v>8</v>
      </c>
      <c r="H957">
        <v>647</v>
      </c>
      <c r="I957">
        <v>5176</v>
      </c>
      <c r="J957">
        <v>4089</v>
      </c>
      <c r="K957">
        <v>1087</v>
      </c>
      <c r="L957" t="s">
        <v>28</v>
      </c>
      <c r="M957" t="s">
        <v>29</v>
      </c>
      <c r="N957" t="str">
        <f>IF(SalesTbl[[#This Row],[Profit]]&gt;180,"High Profit","Low Profit")</f>
        <v>High Profit</v>
      </c>
      <c r="O957" t="str">
        <f>TEXT(SalesTbl[[#This Row],[Date]],"mmm")</f>
        <v>Jan</v>
      </c>
    </row>
    <row r="958" spans="1:15" x14ac:dyDescent="0.3">
      <c r="A958">
        <v>1957</v>
      </c>
      <c r="B958" t="s">
        <v>192</v>
      </c>
      <c r="C958" t="s">
        <v>31</v>
      </c>
      <c r="D958" t="s">
        <v>26</v>
      </c>
      <c r="E958" t="s">
        <v>41</v>
      </c>
      <c r="F958" t="s">
        <v>17</v>
      </c>
      <c r="G958">
        <v>7</v>
      </c>
      <c r="H958">
        <v>462</v>
      </c>
      <c r="I958">
        <v>3234</v>
      </c>
      <c r="J958">
        <v>2037</v>
      </c>
      <c r="K958">
        <v>1197</v>
      </c>
      <c r="L958" t="s">
        <v>33</v>
      </c>
      <c r="M958" t="s">
        <v>19</v>
      </c>
      <c r="N958" t="str">
        <f>IF(SalesTbl[[#This Row],[Profit]]&gt;180,"High Profit","Low Profit")</f>
        <v>High Profit</v>
      </c>
      <c r="O958" t="str">
        <f>TEXT(SalesTbl[[#This Row],[Date]],"mmm")</f>
        <v>May</v>
      </c>
    </row>
    <row r="959" spans="1:15" x14ac:dyDescent="0.3">
      <c r="A959">
        <v>1958</v>
      </c>
      <c r="B959" t="s">
        <v>96</v>
      </c>
      <c r="C959" t="s">
        <v>21</v>
      </c>
      <c r="D959" t="s">
        <v>32</v>
      </c>
      <c r="E959" t="s">
        <v>16</v>
      </c>
      <c r="F959" t="s">
        <v>17</v>
      </c>
      <c r="G959">
        <v>8</v>
      </c>
      <c r="H959">
        <v>130</v>
      </c>
      <c r="I959">
        <v>1040</v>
      </c>
      <c r="J959">
        <v>624</v>
      </c>
      <c r="K959">
        <v>416</v>
      </c>
      <c r="L959" t="s">
        <v>24</v>
      </c>
      <c r="M959" t="s">
        <v>19</v>
      </c>
      <c r="N959" t="str">
        <f>IF(SalesTbl[[#This Row],[Profit]]&gt;180,"High Profit","Low Profit")</f>
        <v>High Profit</v>
      </c>
      <c r="O959" t="str">
        <f>TEXT(SalesTbl[[#This Row],[Date]],"mmm")</f>
        <v>Jun</v>
      </c>
    </row>
    <row r="960" spans="1:15" x14ac:dyDescent="0.3">
      <c r="A960">
        <v>1959</v>
      </c>
      <c r="B960" t="s">
        <v>69</v>
      </c>
      <c r="C960" t="s">
        <v>31</v>
      </c>
      <c r="D960" t="s">
        <v>26</v>
      </c>
      <c r="E960" t="s">
        <v>48</v>
      </c>
      <c r="F960" t="s">
        <v>23</v>
      </c>
      <c r="G960">
        <v>9</v>
      </c>
      <c r="H960">
        <v>396</v>
      </c>
      <c r="I960">
        <v>3564</v>
      </c>
      <c r="J960">
        <v>2779</v>
      </c>
      <c r="K960">
        <v>785</v>
      </c>
      <c r="L960" t="s">
        <v>38</v>
      </c>
      <c r="M960" t="s">
        <v>19</v>
      </c>
      <c r="N960" t="str">
        <f>IF(SalesTbl[[#This Row],[Profit]]&gt;180,"High Profit","Low Profit")</f>
        <v>High Profit</v>
      </c>
      <c r="O960" t="str">
        <f>TEXT(SalesTbl[[#This Row],[Date]],"mmm")</f>
        <v>May</v>
      </c>
    </row>
    <row r="961" spans="1:15" x14ac:dyDescent="0.3">
      <c r="A961">
        <v>1797</v>
      </c>
      <c r="B961" t="s">
        <v>135</v>
      </c>
      <c r="C961" t="s">
        <v>40</v>
      </c>
      <c r="D961" t="s">
        <v>26</v>
      </c>
      <c r="E961" t="s">
        <v>27</v>
      </c>
      <c r="F961" t="s">
        <v>17</v>
      </c>
      <c r="G961">
        <v>1</v>
      </c>
      <c r="H961">
        <v>222</v>
      </c>
      <c r="I961">
        <v>222</v>
      </c>
      <c r="J961">
        <v>153</v>
      </c>
      <c r="K961">
        <v>69</v>
      </c>
      <c r="L961" t="s">
        <v>38</v>
      </c>
      <c r="M961" t="s">
        <v>29</v>
      </c>
      <c r="N961" t="str">
        <f>IF(SalesTbl[[#This Row],[Profit]]&gt;180,"High Profit","Low Profit")</f>
        <v>Low Profit</v>
      </c>
      <c r="O961" t="str">
        <f>TEXT(SalesTbl[[#This Row],[Date]],"mmm")</f>
        <v>May</v>
      </c>
    </row>
    <row r="962" spans="1:15" x14ac:dyDescent="0.3">
      <c r="A962">
        <v>1108</v>
      </c>
      <c r="B962" t="s">
        <v>119</v>
      </c>
      <c r="C962" t="s">
        <v>40</v>
      </c>
      <c r="D962" t="s">
        <v>15</v>
      </c>
      <c r="E962" t="s">
        <v>16</v>
      </c>
      <c r="F962" t="s">
        <v>17</v>
      </c>
      <c r="G962">
        <v>2</v>
      </c>
      <c r="H962">
        <v>139</v>
      </c>
      <c r="I962">
        <v>278</v>
      </c>
      <c r="J962">
        <v>214</v>
      </c>
      <c r="K962">
        <v>64</v>
      </c>
      <c r="L962" t="s">
        <v>28</v>
      </c>
      <c r="M962" t="s">
        <v>19</v>
      </c>
      <c r="N962" t="str">
        <f>IF(SalesTbl[[#This Row],[Profit]]&gt;180,"High Profit","Low Profit")</f>
        <v>Low Profit</v>
      </c>
      <c r="O962" t="str">
        <f>TEXT(SalesTbl[[#This Row],[Date]],"mmm")</f>
        <v>Mar</v>
      </c>
    </row>
    <row r="963" spans="1:15" x14ac:dyDescent="0.3">
      <c r="A963">
        <v>1962</v>
      </c>
      <c r="B963" t="s">
        <v>62</v>
      </c>
      <c r="C963" t="s">
        <v>31</v>
      </c>
      <c r="D963" t="s">
        <v>15</v>
      </c>
      <c r="E963" t="s">
        <v>27</v>
      </c>
      <c r="F963" t="s">
        <v>17</v>
      </c>
      <c r="G963">
        <v>7</v>
      </c>
      <c r="H963">
        <v>834</v>
      </c>
      <c r="I963">
        <v>5838</v>
      </c>
      <c r="J963">
        <v>3794</v>
      </c>
      <c r="K963">
        <v>2044</v>
      </c>
      <c r="L963" t="s">
        <v>38</v>
      </c>
      <c r="M963" t="s">
        <v>29</v>
      </c>
      <c r="N963" t="str">
        <f>IF(SalesTbl[[#This Row],[Profit]]&gt;180,"High Profit","Low Profit")</f>
        <v>High Profit</v>
      </c>
      <c r="O963" t="str">
        <f>TEXT(SalesTbl[[#This Row],[Date]],"mmm")</f>
        <v>May</v>
      </c>
    </row>
    <row r="964" spans="1:15" x14ac:dyDescent="0.3">
      <c r="A964">
        <v>1963</v>
      </c>
      <c r="B964" t="s">
        <v>136</v>
      </c>
      <c r="C964" t="s">
        <v>31</v>
      </c>
      <c r="D964" t="s">
        <v>32</v>
      </c>
      <c r="E964" t="s">
        <v>16</v>
      </c>
      <c r="F964" t="s">
        <v>17</v>
      </c>
      <c r="G964">
        <v>2</v>
      </c>
      <c r="H964">
        <v>338</v>
      </c>
      <c r="I964">
        <v>676</v>
      </c>
      <c r="J964">
        <v>540</v>
      </c>
      <c r="K964">
        <v>136</v>
      </c>
      <c r="L964" t="s">
        <v>28</v>
      </c>
      <c r="M964" t="s">
        <v>19</v>
      </c>
      <c r="N964" t="str">
        <f>IF(SalesTbl[[#This Row],[Profit]]&gt;180,"High Profit","Low Profit")</f>
        <v>Low Profit</v>
      </c>
      <c r="O964" t="str">
        <f>TEXT(SalesTbl[[#This Row],[Date]],"mmm")</f>
        <v>Feb</v>
      </c>
    </row>
    <row r="965" spans="1:15" x14ac:dyDescent="0.3">
      <c r="A965">
        <v>1964</v>
      </c>
      <c r="B965" t="s">
        <v>201</v>
      </c>
      <c r="C965" t="s">
        <v>31</v>
      </c>
      <c r="D965" t="s">
        <v>26</v>
      </c>
      <c r="E965" t="s">
        <v>27</v>
      </c>
      <c r="F965" t="s">
        <v>17</v>
      </c>
      <c r="G965">
        <v>2</v>
      </c>
      <c r="H965">
        <v>866</v>
      </c>
      <c r="I965">
        <v>1732</v>
      </c>
      <c r="J965">
        <v>1264</v>
      </c>
      <c r="K965">
        <v>468</v>
      </c>
      <c r="L965" t="s">
        <v>18</v>
      </c>
      <c r="M965" t="s">
        <v>29</v>
      </c>
      <c r="N965" t="str">
        <f>IF(SalesTbl[[#This Row],[Profit]]&gt;180,"High Profit","Low Profit")</f>
        <v>High Profit</v>
      </c>
      <c r="O965" t="str">
        <f>TEXT(SalesTbl[[#This Row],[Date]],"mmm")</f>
        <v>Jan</v>
      </c>
    </row>
    <row r="966" spans="1:15" x14ac:dyDescent="0.3">
      <c r="A966">
        <v>1965</v>
      </c>
      <c r="B966" t="s">
        <v>150</v>
      </c>
      <c r="C966" t="s">
        <v>21</v>
      </c>
      <c r="D966" t="s">
        <v>26</v>
      </c>
      <c r="E966" t="s">
        <v>54</v>
      </c>
      <c r="F966" t="s">
        <v>17</v>
      </c>
      <c r="G966">
        <v>8</v>
      </c>
      <c r="H966">
        <v>981</v>
      </c>
      <c r="I966">
        <v>7848</v>
      </c>
      <c r="J966">
        <v>4787</v>
      </c>
      <c r="K966">
        <v>3061</v>
      </c>
      <c r="L966" t="s">
        <v>33</v>
      </c>
      <c r="M966" t="s">
        <v>19</v>
      </c>
      <c r="N966" t="str">
        <f>IF(SalesTbl[[#This Row],[Profit]]&gt;180,"High Profit","Low Profit")</f>
        <v>High Profit</v>
      </c>
      <c r="O966" t="str">
        <f>TEXT(SalesTbl[[#This Row],[Date]],"mmm")</f>
        <v>Jun</v>
      </c>
    </row>
    <row r="967" spans="1:15" x14ac:dyDescent="0.3">
      <c r="A967">
        <v>1966</v>
      </c>
      <c r="B967" t="s">
        <v>42</v>
      </c>
      <c r="C967" t="s">
        <v>14</v>
      </c>
      <c r="D967" t="s">
        <v>26</v>
      </c>
      <c r="E967" t="s">
        <v>41</v>
      </c>
      <c r="F967" t="s">
        <v>17</v>
      </c>
      <c r="G967">
        <v>5</v>
      </c>
      <c r="H967">
        <v>760</v>
      </c>
      <c r="I967">
        <v>3800</v>
      </c>
      <c r="J967">
        <v>2622</v>
      </c>
      <c r="K967">
        <v>1178</v>
      </c>
      <c r="L967" t="s">
        <v>33</v>
      </c>
      <c r="M967" t="s">
        <v>19</v>
      </c>
      <c r="N967" t="str">
        <f>IF(SalesTbl[[#This Row],[Profit]]&gt;180,"High Profit","Low Profit")</f>
        <v>High Profit</v>
      </c>
      <c r="O967" t="str">
        <f>TEXT(SalesTbl[[#This Row],[Date]],"mmm")</f>
        <v>Apr</v>
      </c>
    </row>
    <row r="968" spans="1:15" x14ac:dyDescent="0.3">
      <c r="A968">
        <v>1967</v>
      </c>
      <c r="B968" t="s">
        <v>159</v>
      </c>
      <c r="C968" t="s">
        <v>31</v>
      </c>
      <c r="D968" t="s">
        <v>32</v>
      </c>
      <c r="E968" t="s">
        <v>22</v>
      </c>
      <c r="F968" t="s">
        <v>23</v>
      </c>
      <c r="G968">
        <v>5</v>
      </c>
      <c r="H968">
        <v>260</v>
      </c>
      <c r="I968">
        <v>1300</v>
      </c>
      <c r="J968">
        <v>1027</v>
      </c>
      <c r="K968">
        <v>273</v>
      </c>
      <c r="L968" t="s">
        <v>24</v>
      </c>
      <c r="M968" t="s">
        <v>29</v>
      </c>
      <c r="N968" t="str">
        <f>IF(SalesTbl[[#This Row],[Profit]]&gt;180,"High Profit","Low Profit")</f>
        <v>High Profit</v>
      </c>
      <c r="O968" t="str">
        <f>TEXT(SalesTbl[[#This Row],[Date]],"mmm")</f>
        <v>Apr</v>
      </c>
    </row>
    <row r="969" spans="1:15" x14ac:dyDescent="0.3">
      <c r="A969">
        <v>1968</v>
      </c>
      <c r="B969" t="s">
        <v>164</v>
      </c>
      <c r="C969" t="s">
        <v>14</v>
      </c>
      <c r="D969" t="s">
        <v>35</v>
      </c>
      <c r="E969" t="s">
        <v>16</v>
      </c>
      <c r="F969" t="s">
        <v>17</v>
      </c>
      <c r="G969">
        <v>6</v>
      </c>
      <c r="H969">
        <v>402</v>
      </c>
      <c r="I969">
        <v>2412</v>
      </c>
      <c r="J969">
        <v>1471</v>
      </c>
      <c r="K969">
        <v>941</v>
      </c>
      <c r="L969" t="s">
        <v>28</v>
      </c>
      <c r="M969" t="s">
        <v>19</v>
      </c>
      <c r="N969" t="str">
        <f>IF(SalesTbl[[#This Row],[Profit]]&gt;180,"High Profit","Low Profit")</f>
        <v>High Profit</v>
      </c>
      <c r="O969" t="str">
        <f>TEXT(SalesTbl[[#This Row],[Date]],"mmm")</f>
        <v>May</v>
      </c>
    </row>
    <row r="970" spans="1:15" x14ac:dyDescent="0.3">
      <c r="A970">
        <v>1969</v>
      </c>
      <c r="B970" t="s">
        <v>72</v>
      </c>
      <c r="C970" t="s">
        <v>21</v>
      </c>
      <c r="D970" t="s">
        <v>35</v>
      </c>
      <c r="E970" t="s">
        <v>48</v>
      </c>
      <c r="F970" t="s">
        <v>23</v>
      </c>
      <c r="G970">
        <v>6</v>
      </c>
      <c r="H970">
        <v>442</v>
      </c>
      <c r="I970">
        <v>2652</v>
      </c>
      <c r="J970">
        <v>1962</v>
      </c>
      <c r="K970">
        <v>690</v>
      </c>
      <c r="L970" t="s">
        <v>33</v>
      </c>
      <c r="M970" t="s">
        <v>29</v>
      </c>
      <c r="N970" t="str">
        <f>IF(SalesTbl[[#This Row],[Profit]]&gt;180,"High Profit","Low Profit")</f>
        <v>High Profit</v>
      </c>
      <c r="O970" t="str">
        <f>TEXT(SalesTbl[[#This Row],[Date]],"mmm")</f>
        <v>Mar</v>
      </c>
    </row>
    <row r="971" spans="1:15" x14ac:dyDescent="0.3">
      <c r="A971">
        <v>1970</v>
      </c>
      <c r="B971" t="s">
        <v>149</v>
      </c>
      <c r="C971" t="s">
        <v>21</v>
      </c>
      <c r="D971" t="s">
        <v>26</v>
      </c>
      <c r="E971" t="s">
        <v>41</v>
      </c>
      <c r="F971" t="s">
        <v>17</v>
      </c>
      <c r="G971">
        <v>9</v>
      </c>
      <c r="H971">
        <v>749</v>
      </c>
      <c r="I971">
        <v>6741</v>
      </c>
      <c r="J971">
        <v>4044</v>
      </c>
      <c r="K971">
        <v>2697</v>
      </c>
      <c r="L971" t="s">
        <v>18</v>
      </c>
      <c r="M971" t="s">
        <v>19</v>
      </c>
      <c r="N971" t="str">
        <f>IF(SalesTbl[[#This Row],[Profit]]&gt;180,"High Profit","Low Profit")</f>
        <v>High Profit</v>
      </c>
      <c r="O971" t="str">
        <f>TEXT(SalesTbl[[#This Row],[Date]],"mmm")</f>
        <v>Mar</v>
      </c>
    </row>
    <row r="972" spans="1:15" x14ac:dyDescent="0.3">
      <c r="A972">
        <v>1971</v>
      </c>
      <c r="B972" t="s">
        <v>181</v>
      </c>
      <c r="C972" t="s">
        <v>40</v>
      </c>
      <c r="D972" t="s">
        <v>15</v>
      </c>
      <c r="E972" t="s">
        <v>22</v>
      </c>
      <c r="F972" t="s">
        <v>23</v>
      </c>
      <c r="G972">
        <v>8</v>
      </c>
      <c r="H972">
        <v>906</v>
      </c>
      <c r="I972">
        <v>7248</v>
      </c>
      <c r="J972">
        <v>5580</v>
      </c>
      <c r="K972">
        <v>1668</v>
      </c>
      <c r="L972" t="s">
        <v>28</v>
      </c>
      <c r="M972" t="s">
        <v>29</v>
      </c>
      <c r="N972" t="str">
        <f>IF(SalesTbl[[#This Row],[Profit]]&gt;180,"High Profit","Low Profit")</f>
        <v>High Profit</v>
      </c>
      <c r="O972" t="str">
        <f>TEXT(SalesTbl[[#This Row],[Date]],"mmm")</f>
        <v>Jan</v>
      </c>
    </row>
    <row r="973" spans="1:15" x14ac:dyDescent="0.3">
      <c r="A973">
        <v>1972</v>
      </c>
      <c r="B973" t="s">
        <v>206</v>
      </c>
      <c r="C973" t="s">
        <v>31</v>
      </c>
      <c r="D973" t="s">
        <v>35</v>
      </c>
      <c r="E973" t="s">
        <v>27</v>
      </c>
      <c r="F973" t="s">
        <v>17</v>
      </c>
      <c r="G973">
        <v>6</v>
      </c>
      <c r="H973">
        <v>765</v>
      </c>
      <c r="I973">
        <v>4590</v>
      </c>
      <c r="J973">
        <v>3396</v>
      </c>
      <c r="K973">
        <v>1194</v>
      </c>
      <c r="L973" t="s">
        <v>28</v>
      </c>
      <c r="M973" t="s">
        <v>29</v>
      </c>
      <c r="N973" t="str">
        <f>IF(SalesTbl[[#This Row],[Profit]]&gt;180,"High Profit","Low Profit")</f>
        <v>High Profit</v>
      </c>
      <c r="O973" t="str">
        <f>TEXT(SalesTbl[[#This Row],[Date]],"mmm")</f>
        <v>May</v>
      </c>
    </row>
    <row r="974" spans="1:15" x14ac:dyDescent="0.3">
      <c r="A974">
        <v>1973</v>
      </c>
      <c r="B974" t="s">
        <v>170</v>
      </c>
      <c r="C974" t="s">
        <v>31</v>
      </c>
      <c r="D974" t="s">
        <v>15</v>
      </c>
      <c r="E974" t="s">
        <v>48</v>
      </c>
      <c r="F974" t="s">
        <v>23</v>
      </c>
      <c r="G974">
        <v>6</v>
      </c>
      <c r="H974">
        <v>702</v>
      </c>
      <c r="I974">
        <v>4212</v>
      </c>
      <c r="J974">
        <v>2527</v>
      </c>
      <c r="K974">
        <v>1685</v>
      </c>
      <c r="L974" t="s">
        <v>33</v>
      </c>
      <c r="M974" t="s">
        <v>29</v>
      </c>
      <c r="N974" t="str">
        <f>IF(SalesTbl[[#This Row],[Profit]]&gt;180,"High Profit","Low Profit")</f>
        <v>High Profit</v>
      </c>
      <c r="O974" t="str">
        <f>TEXT(SalesTbl[[#This Row],[Date]],"mmm")</f>
        <v>Jan</v>
      </c>
    </row>
    <row r="975" spans="1:15" x14ac:dyDescent="0.3">
      <c r="A975">
        <v>1974</v>
      </c>
      <c r="B975" t="s">
        <v>184</v>
      </c>
      <c r="C975" t="s">
        <v>31</v>
      </c>
      <c r="D975" t="s">
        <v>15</v>
      </c>
      <c r="E975" t="s">
        <v>22</v>
      </c>
      <c r="F975" t="s">
        <v>23</v>
      </c>
      <c r="G975">
        <v>8</v>
      </c>
      <c r="H975">
        <v>682</v>
      </c>
      <c r="I975">
        <v>5456</v>
      </c>
      <c r="J975">
        <v>3273</v>
      </c>
      <c r="K975">
        <v>2183</v>
      </c>
      <c r="L975" t="s">
        <v>38</v>
      </c>
      <c r="M975" t="s">
        <v>19</v>
      </c>
      <c r="N975" t="str">
        <f>IF(SalesTbl[[#This Row],[Profit]]&gt;180,"High Profit","Low Profit")</f>
        <v>High Profit</v>
      </c>
      <c r="O975" t="str">
        <f>TEXT(SalesTbl[[#This Row],[Date]],"mmm")</f>
        <v>Apr</v>
      </c>
    </row>
    <row r="976" spans="1:15" x14ac:dyDescent="0.3">
      <c r="A976">
        <v>1975</v>
      </c>
      <c r="B976" t="s">
        <v>103</v>
      </c>
      <c r="C976" t="s">
        <v>21</v>
      </c>
      <c r="D976" t="s">
        <v>26</v>
      </c>
      <c r="E976" t="s">
        <v>27</v>
      </c>
      <c r="F976" t="s">
        <v>17</v>
      </c>
      <c r="G976">
        <v>1</v>
      </c>
      <c r="H976">
        <v>752</v>
      </c>
      <c r="I976">
        <v>752</v>
      </c>
      <c r="J976">
        <v>601</v>
      </c>
      <c r="K976">
        <v>151</v>
      </c>
      <c r="L976" t="s">
        <v>38</v>
      </c>
      <c r="M976" t="s">
        <v>29</v>
      </c>
      <c r="N976" t="str">
        <f>IF(SalesTbl[[#This Row],[Profit]]&gt;180,"High Profit","Low Profit")</f>
        <v>Low Profit</v>
      </c>
      <c r="O976" t="str">
        <f>TEXT(SalesTbl[[#This Row],[Date]],"mmm")</f>
        <v>Feb</v>
      </c>
    </row>
    <row r="977" spans="1:15" x14ac:dyDescent="0.3">
      <c r="A977">
        <v>1976</v>
      </c>
      <c r="B977" t="s">
        <v>197</v>
      </c>
      <c r="C977" t="s">
        <v>14</v>
      </c>
      <c r="D977" t="s">
        <v>32</v>
      </c>
      <c r="E977" t="s">
        <v>27</v>
      </c>
      <c r="F977" t="s">
        <v>17</v>
      </c>
      <c r="G977">
        <v>6</v>
      </c>
      <c r="H977">
        <v>366</v>
      </c>
      <c r="I977">
        <v>2196</v>
      </c>
      <c r="J977">
        <v>1449</v>
      </c>
      <c r="K977">
        <v>747</v>
      </c>
      <c r="L977" t="s">
        <v>24</v>
      </c>
      <c r="M977" t="s">
        <v>19</v>
      </c>
      <c r="N977" t="str">
        <f>IF(SalesTbl[[#This Row],[Profit]]&gt;180,"High Profit","Low Profit")</f>
        <v>High Profit</v>
      </c>
      <c r="O977" t="str">
        <f>TEXT(SalesTbl[[#This Row],[Date]],"mmm")</f>
        <v>Apr</v>
      </c>
    </row>
    <row r="978" spans="1:15" x14ac:dyDescent="0.3">
      <c r="A978">
        <v>1977</v>
      </c>
      <c r="B978" t="s">
        <v>166</v>
      </c>
      <c r="C978" t="s">
        <v>14</v>
      </c>
      <c r="D978" t="s">
        <v>15</v>
      </c>
      <c r="E978" t="s">
        <v>16</v>
      </c>
      <c r="F978" t="s">
        <v>17</v>
      </c>
      <c r="G978">
        <v>1</v>
      </c>
      <c r="H978">
        <v>333</v>
      </c>
      <c r="I978">
        <v>333</v>
      </c>
      <c r="J978">
        <v>206</v>
      </c>
      <c r="K978">
        <v>127</v>
      </c>
      <c r="L978" t="s">
        <v>18</v>
      </c>
      <c r="M978" t="s">
        <v>29</v>
      </c>
      <c r="N978" t="str">
        <f>IF(SalesTbl[[#This Row],[Profit]]&gt;180,"High Profit","Low Profit")</f>
        <v>Low Profit</v>
      </c>
      <c r="O978" t="str">
        <f>TEXT(SalesTbl[[#This Row],[Date]],"mmm")</f>
        <v>Jan</v>
      </c>
    </row>
    <row r="979" spans="1:15" x14ac:dyDescent="0.3">
      <c r="A979">
        <v>1978</v>
      </c>
      <c r="B979" t="s">
        <v>213</v>
      </c>
      <c r="C979" t="s">
        <v>14</v>
      </c>
      <c r="D979" t="s">
        <v>32</v>
      </c>
      <c r="E979" t="s">
        <v>54</v>
      </c>
      <c r="F979" t="s">
        <v>17</v>
      </c>
      <c r="G979">
        <v>5</v>
      </c>
      <c r="H979">
        <v>130</v>
      </c>
      <c r="I979">
        <v>650</v>
      </c>
      <c r="J979">
        <v>461</v>
      </c>
      <c r="K979">
        <v>189</v>
      </c>
      <c r="L979" t="s">
        <v>33</v>
      </c>
      <c r="M979" t="s">
        <v>29</v>
      </c>
      <c r="N979" t="str">
        <f>IF(SalesTbl[[#This Row],[Profit]]&gt;180,"High Profit","Low Profit")</f>
        <v>High Profit</v>
      </c>
      <c r="O979" t="str">
        <f>TEXT(SalesTbl[[#This Row],[Date]],"mmm")</f>
        <v>Jun</v>
      </c>
    </row>
    <row r="980" spans="1:15" x14ac:dyDescent="0.3">
      <c r="A980">
        <v>1979</v>
      </c>
      <c r="B980" t="s">
        <v>153</v>
      </c>
      <c r="C980" t="s">
        <v>31</v>
      </c>
      <c r="D980" t="s">
        <v>15</v>
      </c>
      <c r="E980" t="s">
        <v>41</v>
      </c>
      <c r="F980" t="s">
        <v>17</v>
      </c>
      <c r="G980">
        <v>2</v>
      </c>
      <c r="H980">
        <v>230</v>
      </c>
      <c r="I980">
        <v>460</v>
      </c>
      <c r="J980">
        <v>340</v>
      </c>
      <c r="K980">
        <v>120</v>
      </c>
      <c r="L980" t="s">
        <v>24</v>
      </c>
      <c r="M980" t="s">
        <v>19</v>
      </c>
      <c r="N980" t="str">
        <f>IF(SalesTbl[[#This Row],[Profit]]&gt;180,"High Profit","Low Profit")</f>
        <v>Low Profit</v>
      </c>
      <c r="O980" t="str">
        <f>TEXT(SalesTbl[[#This Row],[Date]],"mmm")</f>
        <v>Mar</v>
      </c>
    </row>
    <row r="981" spans="1:15" x14ac:dyDescent="0.3">
      <c r="A981">
        <v>1980</v>
      </c>
      <c r="B981" t="s">
        <v>180</v>
      </c>
      <c r="C981" t="s">
        <v>31</v>
      </c>
      <c r="D981" t="s">
        <v>35</v>
      </c>
      <c r="E981" t="s">
        <v>27</v>
      </c>
      <c r="F981" t="s">
        <v>17</v>
      </c>
      <c r="G981">
        <v>2</v>
      </c>
      <c r="H981">
        <v>335</v>
      </c>
      <c r="I981">
        <v>670</v>
      </c>
      <c r="J981">
        <v>448</v>
      </c>
      <c r="K981">
        <v>222</v>
      </c>
      <c r="L981" t="s">
        <v>24</v>
      </c>
      <c r="M981" t="s">
        <v>29</v>
      </c>
      <c r="N981" t="str">
        <f>IF(SalesTbl[[#This Row],[Profit]]&gt;180,"High Profit","Low Profit")</f>
        <v>High Profit</v>
      </c>
      <c r="O981" t="str">
        <f>TEXT(SalesTbl[[#This Row],[Date]],"mmm")</f>
        <v>Feb</v>
      </c>
    </row>
    <row r="982" spans="1:15" x14ac:dyDescent="0.3">
      <c r="A982">
        <v>1981</v>
      </c>
      <c r="B982" t="s">
        <v>185</v>
      </c>
      <c r="C982" t="s">
        <v>14</v>
      </c>
      <c r="D982" t="s">
        <v>32</v>
      </c>
      <c r="E982" t="s">
        <v>41</v>
      </c>
      <c r="F982" t="s">
        <v>17</v>
      </c>
      <c r="G982">
        <v>2</v>
      </c>
      <c r="H982">
        <v>653</v>
      </c>
      <c r="I982">
        <v>1306</v>
      </c>
      <c r="J982">
        <v>940</v>
      </c>
      <c r="K982">
        <v>366</v>
      </c>
      <c r="L982" t="s">
        <v>18</v>
      </c>
      <c r="M982" t="s">
        <v>29</v>
      </c>
      <c r="N982" t="str">
        <f>IF(SalesTbl[[#This Row],[Profit]]&gt;180,"High Profit","Low Profit")</f>
        <v>High Profit</v>
      </c>
      <c r="O982" t="str">
        <f>TEXT(SalesTbl[[#This Row],[Date]],"mmm")</f>
        <v>Jun</v>
      </c>
    </row>
    <row r="983" spans="1:15" x14ac:dyDescent="0.3">
      <c r="A983">
        <v>1982</v>
      </c>
      <c r="B983" t="s">
        <v>191</v>
      </c>
      <c r="C983" t="s">
        <v>21</v>
      </c>
      <c r="D983" t="s">
        <v>26</v>
      </c>
      <c r="E983" t="s">
        <v>41</v>
      </c>
      <c r="F983" t="s">
        <v>17</v>
      </c>
      <c r="G983">
        <v>2</v>
      </c>
      <c r="H983">
        <v>735</v>
      </c>
      <c r="I983">
        <v>1470</v>
      </c>
      <c r="J983">
        <v>1043</v>
      </c>
      <c r="K983">
        <v>427</v>
      </c>
      <c r="L983" t="s">
        <v>18</v>
      </c>
      <c r="M983" t="s">
        <v>19</v>
      </c>
      <c r="N983" t="str">
        <f>IF(SalesTbl[[#This Row],[Profit]]&gt;180,"High Profit","Low Profit")</f>
        <v>High Profit</v>
      </c>
      <c r="O983" t="str">
        <f>TEXT(SalesTbl[[#This Row],[Date]],"mmm")</f>
        <v>May</v>
      </c>
    </row>
    <row r="984" spans="1:15" x14ac:dyDescent="0.3">
      <c r="A984">
        <v>1983</v>
      </c>
      <c r="B984" t="s">
        <v>118</v>
      </c>
      <c r="C984" t="s">
        <v>14</v>
      </c>
      <c r="D984" t="s">
        <v>26</v>
      </c>
      <c r="E984" t="s">
        <v>48</v>
      </c>
      <c r="F984" t="s">
        <v>23</v>
      </c>
      <c r="G984">
        <v>6</v>
      </c>
      <c r="H984">
        <v>444</v>
      </c>
      <c r="I984">
        <v>2664</v>
      </c>
      <c r="J984">
        <v>1998</v>
      </c>
      <c r="K984">
        <v>666</v>
      </c>
      <c r="L984" t="s">
        <v>38</v>
      </c>
      <c r="M984" t="s">
        <v>19</v>
      </c>
      <c r="N984" t="str">
        <f>IF(SalesTbl[[#This Row],[Profit]]&gt;180,"High Profit","Low Profit")</f>
        <v>High Profit</v>
      </c>
      <c r="O984" t="str">
        <f>TEXT(SalesTbl[[#This Row],[Date]],"mmm")</f>
        <v>Jun</v>
      </c>
    </row>
    <row r="985" spans="1:15" x14ac:dyDescent="0.3">
      <c r="A985">
        <v>1984</v>
      </c>
      <c r="B985" t="s">
        <v>157</v>
      </c>
      <c r="C985" t="s">
        <v>14</v>
      </c>
      <c r="D985" t="s">
        <v>32</v>
      </c>
      <c r="E985" t="s">
        <v>48</v>
      </c>
      <c r="F985" t="s">
        <v>23</v>
      </c>
      <c r="G985">
        <v>7</v>
      </c>
      <c r="H985">
        <v>894</v>
      </c>
      <c r="I985">
        <v>6258</v>
      </c>
      <c r="J985">
        <v>4630</v>
      </c>
      <c r="K985">
        <v>1628</v>
      </c>
      <c r="L985" t="s">
        <v>24</v>
      </c>
      <c r="M985" t="s">
        <v>19</v>
      </c>
      <c r="N985" t="str">
        <f>IF(SalesTbl[[#This Row],[Profit]]&gt;180,"High Profit","Low Profit")</f>
        <v>High Profit</v>
      </c>
      <c r="O985" t="str">
        <f>TEXT(SalesTbl[[#This Row],[Date]],"mmm")</f>
        <v>Feb</v>
      </c>
    </row>
    <row r="986" spans="1:15" x14ac:dyDescent="0.3">
      <c r="A986">
        <v>1985</v>
      </c>
      <c r="B986" t="s">
        <v>197</v>
      </c>
      <c r="C986" t="s">
        <v>21</v>
      </c>
      <c r="D986" t="s">
        <v>35</v>
      </c>
      <c r="E986" t="s">
        <v>22</v>
      </c>
      <c r="F986" t="s">
        <v>23</v>
      </c>
      <c r="G986">
        <v>9</v>
      </c>
      <c r="H986">
        <v>802</v>
      </c>
      <c r="I986">
        <v>7218</v>
      </c>
      <c r="J986">
        <v>4691</v>
      </c>
      <c r="K986">
        <v>2527</v>
      </c>
      <c r="L986" t="s">
        <v>24</v>
      </c>
      <c r="M986" t="s">
        <v>19</v>
      </c>
      <c r="N986" t="str">
        <f>IF(SalesTbl[[#This Row],[Profit]]&gt;180,"High Profit","Low Profit")</f>
        <v>High Profit</v>
      </c>
      <c r="O986" t="str">
        <f>TEXT(SalesTbl[[#This Row],[Date]],"mmm")</f>
        <v>Apr</v>
      </c>
    </row>
    <row r="987" spans="1:15" x14ac:dyDescent="0.3">
      <c r="A987">
        <v>1986</v>
      </c>
      <c r="B987" t="s">
        <v>163</v>
      </c>
      <c r="C987" t="s">
        <v>31</v>
      </c>
      <c r="D987" t="s">
        <v>35</v>
      </c>
      <c r="E987" t="s">
        <v>22</v>
      </c>
      <c r="F987" t="s">
        <v>23</v>
      </c>
      <c r="G987">
        <v>3</v>
      </c>
      <c r="H987">
        <v>882</v>
      </c>
      <c r="I987">
        <v>2646</v>
      </c>
      <c r="J987">
        <v>1984</v>
      </c>
      <c r="K987">
        <v>662</v>
      </c>
      <c r="L987" t="s">
        <v>18</v>
      </c>
      <c r="M987" t="s">
        <v>19</v>
      </c>
      <c r="N987" t="str">
        <f>IF(SalesTbl[[#This Row],[Profit]]&gt;180,"High Profit","Low Profit")</f>
        <v>High Profit</v>
      </c>
      <c r="O987" t="str">
        <f>TEXT(SalesTbl[[#This Row],[Date]],"mmm")</f>
        <v>Feb</v>
      </c>
    </row>
    <row r="988" spans="1:15" x14ac:dyDescent="0.3">
      <c r="A988">
        <v>1026</v>
      </c>
      <c r="B988" t="s">
        <v>56</v>
      </c>
      <c r="C988" t="s">
        <v>40</v>
      </c>
      <c r="D988" t="s">
        <v>15</v>
      </c>
      <c r="E988" t="s">
        <v>54</v>
      </c>
      <c r="F988" t="s">
        <v>17</v>
      </c>
      <c r="G988">
        <v>3</v>
      </c>
      <c r="H988">
        <v>65</v>
      </c>
      <c r="I988">
        <v>195</v>
      </c>
      <c r="J988">
        <v>136</v>
      </c>
      <c r="K988">
        <v>59</v>
      </c>
      <c r="L988" t="s">
        <v>24</v>
      </c>
      <c r="M988" t="s">
        <v>19</v>
      </c>
      <c r="N988" t="str">
        <f>IF(SalesTbl[[#This Row],[Profit]]&gt;180,"High Profit","Low Profit")</f>
        <v>Low Profit</v>
      </c>
      <c r="O988" t="str">
        <f>TEXT(SalesTbl[[#This Row],[Date]],"mmm")</f>
        <v>Jan</v>
      </c>
    </row>
    <row r="989" spans="1:15" x14ac:dyDescent="0.3">
      <c r="A989">
        <v>1473</v>
      </c>
      <c r="B989" t="s">
        <v>89</v>
      </c>
      <c r="C989" t="s">
        <v>40</v>
      </c>
      <c r="D989" t="s">
        <v>15</v>
      </c>
      <c r="E989" t="s">
        <v>16</v>
      </c>
      <c r="F989" t="s">
        <v>17</v>
      </c>
      <c r="G989">
        <v>3</v>
      </c>
      <c r="H989">
        <v>79</v>
      </c>
      <c r="I989">
        <v>237</v>
      </c>
      <c r="J989">
        <v>182</v>
      </c>
      <c r="K989">
        <v>55</v>
      </c>
      <c r="L989" t="s">
        <v>24</v>
      </c>
      <c r="M989" t="s">
        <v>29</v>
      </c>
      <c r="N989" t="str">
        <f>IF(SalesTbl[[#This Row],[Profit]]&gt;180,"High Profit","Low Profit")</f>
        <v>Low Profit</v>
      </c>
      <c r="O989" t="str">
        <f>TEXT(SalesTbl[[#This Row],[Date]],"mmm")</f>
        <v>Apr</v>
      </c>
    </row>
    <row r="990" spans="1:15" x14ac:dyDescent="0.3">
      <c r="A990">
        <v>1989</v>
      </c>
      <c r="B990" t="s">
        <v>182</v>
      </c>
      <c r="C990" t="s">
        <v>31</v>
      </c>
      <c r="D990" t="s">
        <v>26</v>
      </c>
      <c r="E990" t="s">
        <v>16</v>
      </c>
      <c r="F990" t="s">
        <v>17</v>
      </c>
      <c r="G990">
        <v>5</v>
      </c>
      <c r="H990">
        <v>611</v>
      </c>
      <c r="I990">
        <v>3055</v>
      </c>
      <c r="J990">
        <v>2321</v>
      </c>
      <c r="K990">
        <v>734</v>
      </c>
      <c r="L990" t="s">
        <v>24</v>
      </c>
      <c r="M990" t="s">
        <v>29</v>
      </c>
      <c r="N990" t="str">
        <f>IF(SalesTbl[[#This Row],[Profit]]&gt;180,"High Profit","Low Profit")</f>
        <v>High Profit</v>
      </c>
      <c r="O990" t="str">
        <f>TEXT(SalesTbl[[#This Row],[Date]],"mmm")</f>
        <v>Mar</v>
      </c>
    </row>
    <row r="991" spans="1:15" x14ac:dyDescent="0.3">
      <c r="A991">
        <v>1990</v>
      </c>
      <c r="B991" t="s">
        <v>121</v>
      </c>
      <c r="C991" t="s">
        <v>14</v>
      </c>
      <c r="D991" t="s">
        <v>35</v>
      </c>
      <c r="E991" t="s">
        <v>48</v>
      </c>
      <c r="F991" t="s">
        <v>23</v>
      </c>
      <c r="G991">
        <v>9</v>
      </c>
      <c r="H991">
        <v>851</v>
      </c>
      <c r="I991">
        <v>7659</v>
      </c>
      <c r="J991">
        <v>4595</v>
      </c>
      <c r="K991">
        <v>3064</v>
      </c>
      <c r="L991" t="s">
        <v>28</v>
      </c>
      <c r="M991" t="s">
        <v>19</v>
      </c>
      <c r="N991" t="str">
        <f>IF(SalesTbl[[#This Row],[Profit]]&gt;180,"High Profit","Low Profit")</f>
        <v>High Profit</v>
      </c>
      <c r="O991" t="str">
        <f>TEXT(SalesTbl[[#This Row],[Date]],"mmm")</f>
        <v>Feb</v>
      </c>
    </row>
    <row r="992" spans="1:15" x14ac:dyDescent="0.3">
      <c r="A992">
        <v>1991</v>
      </c>
      <c r="B992" t="s">
        <v>114</v>
      </c>
      <c r="C992" t="s">
        <v>14</v>
      </c>
      <c r="D992" t="s">
        <v>35</v>
      </c>
      <c r="E992" t="s">
        <v>54</v>
      </c>
      <c r="F992" t="s">
        <v>17</v>
      </c>
      <c r="G992">
        <v>10</v>
      </c>
      <c r="H992">
        <v>437</v>
      </c>
      <c r="I992">
        <v>4370</v>
      </c>
      <c r="J992">
        <v>3277</v>
      </c>
      <c r="K992">
        <v>1093</v>
      </c>
      <c r="L992" t="s">
        <v>28</v>
      </c>
      <c r="M992" t="s">
        <v>29</v>
      </c>
      <c r="N992" t="str">
        <f>IF(SalesTbl[[#This Row],[Profit]]&gt;180,"High Profit","Low Profit")</f>
        <v>High Profit</v>
      </c>
      <c r="O992" t="str">
        <f>TEXT(SalesTbl[[#This Row],[Date]],"mmm")</f>
        <v>Jan</v>
      </c>
    </row>
    <row r="993" spans="1:15" x14ac:dyDescent="0.3">
      <c r="A993">
        <v>1992</v>
      </c>
      <c r="B993" t="s">
        <v>212</v>
      </c>
      <c r="C993" t="s">
        <v>31</v>
      </c>
      <c r="D993" t="s">
        <v>15</v>
      </c>
      <c r="E993" t="s">
        <v>22</v>
      </c>
      <c r="F993" t="s">
        <v>23</v>
      </c>
      <c r="G993">
        <v>8</v>
      </c>
      <c r="H993">
        <v>982</v>
      </c>
      <c r="I993">
        <v>7856</v>
      </c>
      <c r="J993">
        <v>4713</v>
      </c>
      <c r="K993">
        <v>3143</v>
      </c>
      <c r="L993" t="s">
        <v>38</v>
      </c>
      <c r="M993" t="s">
        <v>29</v>
      </c>
      <c r="N993" t="str">
        <f>IF(SalesTbl[[#This Row],[Profit]]&gt;180,"High Profit","Low Profit")</f>
        <v>High Profit</v>
      </c>
      <c r="O993" t="str">
        <f>TEXT(SalesTbl[[#This Row],[Date]],"mmm")</f>
        <v>Mar</v>
      </c>
    </row>
    <row r="994" spans="1:15" x14ac:dyDescent="0.3">
      <c r="A994">
        <v>1123</v>
      </c>
      <c r="B994" t="s">
        <v>114</v>
      </c>
      <c r="C994" t="s">
        <v>40</v>
      </c>
      <c r="D994" t="s">
        <v>26</v>
      </c>
      <c r="E994" t="s">
        <v>16</v>
      </c>
      <c r="F994" t="s">
        <v>17</v>
      </c>
      <c r="G994">
        <v>1</v>
      </c>
      <c r="H994">
        <v>137</v>
      </c>
      <c r="I994">
        <v>137</v>
      </c>
      <c r="J994">
        <v>89</v>
      </c>
      <c r="K994">
        <v>48</v>
      </c>
      <c r="L994" t="s">
        <v>24</v>
      </c>
      <c r="M994" t="s">
        <v>19</v>
      </c>
      <c r="N994" t="str">
        <f>IF(SalesTbl[[#This Row],[Profit]]&gt;180,"High Profit","Low Profit")</f>
        <v>Low Profit</v>
      </c>
      <c r="O994" t="str">
        <f>TEXT(SalesTbl[[#This Row],[Date]],"mmm")</f>
        <v>Jan</v>
      </c>
    </row>
    <row r="995" spans="1:15" x14ac:dyDescent="0.3">
      <c r="A995">
        <v>1273</v>
      </c>
      <c r="B995" t="s">
        <v>179</v>
      </c>
      <c r="C995" t="s">
        <v>40</v>
      </c>
      <c r="D995" t="s">
        <v>26</v>
      </c>
      <c r="E995" t="s">
        <v>27</v>
      </c>
      <c r="F995" t="s">
        <v>17</v>
      </c>
      <c r="G995">
        <v>1</v>
      </c>
      <c r="H995">
        <v>95</v>
      </c>
      <c r="I995">
        <v>95</v>
      </c>
      <c r="J995">
        <v>59</v>
      </c>
      <c r="K995">
        <v>36</v>
      </c>
      <c r="L995" t="s">
        <v>18</v>
      </c>
      <c r="M995" t="s">
        <v>19</v>
      </c>
      <c r="N995" t="str">
        <f>IF(SalesTbl[[#This Row],[Profit]]&gt;180,"High Profit","Low Profit")</f>
        <v>Low Profit</v>
      </c>
      <c r="O995" t="str">
        <f>TEXT(SalesTbl[[#This Row],[Date]],"mmm")</f>
        <v>May</v>
      </c>
    </row>
    <row r="996" spans="1:15" x14ac:dyDescent="0.3">
      <c r="A996">
        <v>1995</v>
      </c>
      <c r="B996" t="s">
        <v>161</v>
      </c>
      <c r="C996" t="s">
        <v>31</v>
      </c>
      <c r="D996" t="s">
        <v>35</v>
      </c>
      <c r="E996" t="s">
        <v>16</v>
      </c>
      <c r="F996" t="s">
        <v>17</v>
      </c>
      <c r="G996">
        <v>3</v>
      </c>
      <c r="H996">
        <v>51</v>
      </c>
      <c r="I996">
        <v>153</v>
      </c>
      <c r="J996">
        <v>108</v>
      </c>
      <c r="K996">
        <v>45</v>
      </c>
      <c r="L996" t="s">
        <v>38</v>
      </c>
      <c r="M996" t="s">
        <v>29</v>
      </c>
      <c r="N996" t="str">
        <f>IF(SalesTbl[[#This Row],[Profit]]&gt;180,"High Profit","Low Profit")</f>
        <v>Low Profit</v>
      </c>
      <c r="O996" t="str">
        <f>TEXT(SalesTbl[[#This Row],[Date]],"mmm")</f>
        <v>Mar</v>
      </c>
    </row>
    <row r="997" spans="1:15" x14ac:dyDescent="0.3">
      <c r="A997">
        <v>1996</v>
      </c>
      <c r="B997" t="s">
        <v>211</v>
      </c>
      <c r="C997" t="s">
        <v>14</v>
      </c>
      <c r="D997" t="s">
        <v>15</v>
      </c>
      <c r="E997" t="s">
        <v>22</v>
      </c>
      <c r="F997" t="s">
        <v>23</v>
      </c>
      <c r="G997">
        <v>1</v>
      </c>
      <c r="H997">
        <v>582</v>
      </c>
      <c r="I997">
        <v>582</v>
      </c>
      <c r="J997">
        <v>366</v>
      </c>
      <c r="K997">
        <v>216</v>
      </c>
      <c r="L997" t="s">
        <v>28</v>
      </c>
      <c r="M997" t="s">
        <v>19</v>
      </c>
      <c r="N997" t="str">
        <f>IF(SalesTbl[[#This Row],[Profit]]&gt;180,"High Profit","Low Profit")</f>
        <v>High Profit</v>
      </c>
      <c r="O997" t="str">
        <f>TEXT(SalesTbl[[#This Row],[Date]],"mmm")</f>
        <v>Mar</v>
      </c>
    </row>
    <row r="998" spans="1:15" x14ac:dyDescent="0.3">
      <c r="A998">
        <v>1997</v>
      </c>
      <c r="B998" t="s">
        <v>210</v>
      </c>
      <c r="C998" t="s">
        <v>31</v>
      </c>
      <c r="D998" t="s">
        <v>35</v>
      </c>
      <c r="E998" t="s">
        <v>41</v>
      </c>
      <c r="F998" t="s">
        <v>17</v>
      </c>
      <c r="G998">
        <v>4</v>
      </c>
      <c r="H998">
        <v>926</v>
      </c>
      <c r="I998">
        <v>3704</v>
      </c>
      <c r="J998">
        <v>2296</v>
      </c>
      <c r="K998">
        <v>1408</v>
      </c>
      <c r="L998" t="s">
        <v>24</v>
      </c>
      <c r="M998" t="s">
        <v>19</v>
      </c>
      <c r="N998" t="str">
        <f>IF(SalesTbl[[#This Row],[Profit]]&gt;180,"High Profit","Low Profit")</f>
        <v>High Profit</v>
      </c>
      <c r="O998" t="str">
        <f>TEXT(SalesTbl[[#This Row],[Date]],"mmm")</f>
        <v>Apr</v>
      </c>
    </row>
    <row r="999" spans="1:15" x14ac:dyDescent="0.3">
      <c r="A999">
        <v>1998</v>
      </c>
      <c r="B999" t="s">
        <v>167</v>
      </c>
      <c r="C999" t="s">
        <v>31</v>
      </c>
      <c r="D999" t="s">
        <v>32</v>
      </c>
      <c r="E999" t="s">
        <v>48</v>
      </c>
      <c r="F999" t="s">
        <v>23</v>
      </c>
      <c r="G999">
        <v>2</v>
      </c>
      <c r="H999">
        <v>936</v>
      </c>
      <c r="I999">
        <v>1872</v>
      </c>
      <c r="J999">
        <v>1160</v>
      </c>
      <c r="K999">
        <v>712</v>
      </c>
      <c r="L999" t="s">
        <v>24</v>
      </c>
      <c r="M999" t="s">
        <v>19</v>
      </c>
      <c r="N999" t="str">
        <f>IF(SalesTbl[[#This Row],[Profit]]&gt;180,"High Profit","Low Profit")</f>
        <v>High Profit</v>
      </c>
      <c r="O999" t="str">
        <f>TEXT(SalesTbl[[#This Row],[Date]],"mmm")</f>
        <v>Jan</v>
      </c>
    </row>
    <row r="1000" spans="1:15" x14ac:dyDescent="0.3">
      <c r="A1000">
        <v>1441</v>
      </c>
      <c r="B1000" t="s">
        <v>166</v>
      </c>
      <c r="C1000" t="s">
        <v>40</v>
      </c>
      <c r="D1000" t="s">
        <v>35</v>
      </c>
      <c r="E1000" t="s">
        <v>16</v>
      </c>
      <c r="F1000" t="s">
        <v>17</v>
      </c>
      <c r="G1000">
        <v>1</v>
      </c>
      <c r="H1000">
        <v>75</v>
      </c>
      <c r="I1000">
        <v>75</v>
      </c>
      <c r="J1000">
        <v>47</v>
      </c>
      <c r="K1000">
        <v>28</v>
      </c>
      <c r="L1000" t="s">
        <v>24</v>
      </c>
      <c r="M1000" t="s">
        <v>19</v>
      </c>
      <c r="N1000" t="str">
        <f>IF(SalesTbl[[#This Row],[Profit]]&gt;180,"High Profit","Low Profit")</f>
        <v>Low Profit</v>
      </c>
      <c r="O1000" t="str">
        <f>TEXT(SalesTbl[[#This Row],[Date]],"mmm")</f>
        <v>Jan</v>
      </c>
    </row>
    <row r="1001" spans="1:15" x14ac:dyDescent="0.3">
      <c r="A1001">
        <v>1608</v>
      </c>
      <c r="B1001" t="s">
        <v>59</v>
      </c>
      <c r="C1001" t="s">
        <v>40</v>
      </c>
      <c r="D1001" t="s">
        <v>35</v>
      </c>
      <c r="E1001" t="s">
        <v>16</v>
      </c>
      <c r="F1001" t="s">
        <v>17</v>
      </c>
      <c r="G1001">
        <v>1</v>
      </c>
      <c r="H1001">
        <v>85</v>
      </c>
      <c r="I1001">
        <v>85</v>
      </c>
      <c r="J1001">
        <v>59</v>
      </c>
      <c r="K1001">
        <v>26</v>
      </c>
      <c r="L1001" t="s">
        <v>28</v>
      </c>
      <c r="M1001" t="s">
        <v>29</v>
      </c>
      <c r="N1001" t="str">
        <f>IF(SalesTbl[[#This Row],[Profit]]&gt;180,"High Profit","Low Profit")</f>
        <v>Low Profit</v>
      </c>
      <c r="O1001" t="str">
        <f>TEXT(SalesTbl[[#This Row],[Date]],"mmm")</f>
        <v>Jun</v>
      </c>
    </row>
    <row r="1002" spans="1:15" x14ac:dyDescent="0.3">
      <c r="N1002" t="str">
        <f>IF(SalesTbl[[#This Row],[Profit]]&gt;180,"High Profit","Low Profit")</f>
        <v>Low Profit</v>
      </c>
      <c r="O1002" t="str">
        <f>TEXT(SalesTbl[[#This Row],[Date]],"mmm")</f>
        <v>Jan</v>
      </c>
    </row>
  </sheetData>
  <conditionalFormatting sqref="K2:K1002">
    <cfRule type="cellIs" dxfId="0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C4AF-C493-454E-8341-B929E1781F27}">
  <dimension ref="A2:B5"/>
  <sheetViews>
    <sheetView workbookViewId="0">
      <selection activeCell="E21" sqref="E21"/>
    </sheetView>
  </sheetViews>
  <sheetFormatPr defaultRowHeight="14.4" x14ac:dyDescent="0.3"/>
  <cols>
    <col min="1" max="1" width="16.21875" customWidth="1"/>
    <col min="3" max="3" width="11" customWidth="1"/>
  </cols>
  <sheetData>
    <row r="2" spans="1:2" x14ac:dyDescent="0.3">
      <c r="A2" t="s">
        <v>214</v>
      </c>
      <c r="B2">
        <f>SUM(SalesTbl[Sales])</f>
        <v>2939649</v>
      </c>
    </row>
    <row r="3" spans="1:2" x14ac:dyDescent="0.3">
      <c r="A3" t="s">
        <v>215</v>
      </c>
      <c r="B3">
        <f>SUM(SalesTbl[Profit])</f>
        <v>889566</v>
      </c>
    </row>
    <row r="4" spans="1:2" x14ac:dyDescent="0.3">
      <c r="A4" t="s">
        <v>216</v>
      </c>
      <c r="B4">
        <f>COUNT(SalesTbl[Order_ID])</f>
        <v>1000</v>
      </c>
    </row>
    <row r="5" spans="1:2" x14ac:dyDescent="0.3">
      <c r="A5" t="s">
        <v>217</v>
      </c>
      <c r="B5">
        <f>AVERAGE(SalesTbl[Sales])</f>
        <v>2939.6489999999999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17BCB6427CF41882B53DC3F773778" ma:contentTypeVersion="9" ma:contentTypeDescription="Create a new document." ma:contentTypeScope="" ma:versionID="c7042a0a5280e7d96cd24bf705e80f28">
  <xsd:schema xmlns:xsd="http://www.w3.org/2001/XMLSchema" xmlns:xs="http://www.w3.org/2001/XMLSchema" xmlns:p="http://schemas.microsoft.com/office/2006/metadata/properties" xmlns:ns3="26344514-af6f-4de6-b664-c0111cf62087" targetNamespace="http://schemas.microsoft.com/office/2006/metadata/properties" ma:root="true" ma:fieldsID="7eb5b9821f3d3808ae686c00631f8b21" ns3:_="">
    <xsd:import namespace="26344514-af6f-4de6-b664-c0111cf620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4514-af6f-4de6-b664-c0111cf620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344514-af6f-4de6-b664-c0111cf620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E4F041-6802-4970-9A4C-F146E74A44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344514-af6f-4de6-b664-c0111cf620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081076-0373-4A5B-857B-9AD0B5EC036D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26344514-af6f-4de6-b664-c0111cf62087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9E95AA1-6E29-4607-9FE9-359CC550DB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Payment Method Analysis (Pivot </vt:lpstr>
      <vt:lpstr>Salesperson Performance</vt:lpstr>
      <vt:lpstr>sales by month </vt:lpstr>
      <vt:lpstr>Profit by Product</vt:lpstr>
      <vt:lpstr>Dashboard</vt:lpstr>
      <vt:lpstr>Sales by Region</vt:lpstr>
      <vt:lpstr>Sheet7</vt:lpstr>
      <vt:lpstr>Sheet4</vt:lpstr>
      <vt:lpstr>SalesTbl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gowtham.nataraj</cp:lastModifiedBy>
  <dcterms:created xsi:type="dcterms:W3CDTF">2026-01-30T20:05:02Z</dcterms:created>
  <dcterms:modified xsi:type="dcterms:W3CDTF">2026-02-06T17:51:15Z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0x0101005C217BCB6427CF41882B53DC3F773778</vt:lpwstr>
  </property>
</Properties>
</file>